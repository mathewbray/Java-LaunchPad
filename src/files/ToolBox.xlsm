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ew\Desktop\Sync - Dell XPS 15\25 - Development\Java\NetBeansProjects\LaunchPad\src\files\"/>
    </mc:Choice>
  </mc:AlternateContent>
  <bookViews>
    <workbookView xWindow="0" yWindow="0" windowWidth="21570" windowHeight="7365" firstSheet="1" activeTab="6"/>
  </bookViews>
  <sheets>
    <sheet name="VBS Array Maker" sheetId="1" r:id="rId1"/>
    <sheet name="Java Array Maker" sheetId="22" r:id="rId2"/>
    <sheet name="Repetitive List Maker" sheetId="21" r:id="rId3"/>
    <sheet name="Donation Tracker" sheetId="3" r:id="rId4"/>
    <sheet name="IP-Hostname Sort" sheetId="4" r:id="rId5"/>
    <sheet name="Search Multiple Criteria" sheetId="5" r:id="rId6"/>
    <sheet name="Compare Column Data" sheetId="23" r:id="rId7"/>
    <sheet name="Strip-Modify Hostname" sheetId="8" r:id="rId8"/>
    <sheet name="Conditional Formatting" sheetId="9" r:id="rId9"/>
    <sheet name="IPv4-Calculator" sheetId="12" r:id="rId10"/>
    <sheet name="IPv4-Functions" sheetId="13" r:id="rId11"/>
    <sheet name="IPv4-Find Match or Overlap" sheetId="14" r:id="rId12"/>
    <sheet name="IPv4-IP and Subnet Sort" sheetId="16" r:id="rId13"/>
    <sheet name="IPv4-IP and Subnet Sort Tool" sheetId="17" r:id="rId14"/>
    <sheet name="IPv4-Subnet Range and Subtract" sheetId="18" r:id="rId15"/>
    <sheet name="IPv4-IP Range Creator" sheetId="19" r:id="rId16"/>
    <sheet name="IPv6-Functions" sheetId="20" r:id="rId17"/>
  </sheets>
  <functionGroups builtInGroupCount="18"/>
  <definedNames>
    <definedName name="logTable2">'Donation Tracker'!$A$1:$B$35</definedName>
    <definedName name="logTable3">'Donation Tracker'!$A$1:$B$35</definedName>
    <definedName name="_xlnm.Print_Area" localSheetId="3">'Donation Tracker'!$A:$B</definedName>
    <definedName name="_xlnm.Print_Titles" localSheetId="3">'Donation Tracker'!$20:$20</definedName>
    <definedName name="projectID" localSheetId="2">#REF!</definedName>
    <definedName name="projectID">#REF!</definedName>
    <definedName name="projectID_list" localSheetId="2">OFFSET(#REF!,1,0,COUNTA(#REF!),1)</definedName>
    <definedName name="projectID_list">OFFSET(#REF!,1,0,COUNTA(#REF!),1)</definedName>
    <definedName name="taskID" localSheetId="2">#REF!</definedName>
    <definedName name="taskID">#REF!</definedName>
    <definedName name="taskIDlabel" localSheetId="2">#REF!</definedName>
    <definedName name="taskIDlabel">#REF!</definedName>
    <definedName name="taskIDList_ProjectID" localSheetId="2">OFFSET(#REF!,1,0,COUNTA(#REF!),1)</definedName>
    <definedName name="taskIDList_ProjectID">OFFSET(#REF!,1,0,COUNTA(#REF!),1)</definedName>
    <definedName name="valuevx">42.314159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00" i="23" l="1"/>
  <c r="F1000" i="23" s="1"/>
  <c r="C1000" i="23"/>
  <c r="E999" i="23"/>
  <c r="F999" i="23" s="1"/>
  <c r="C999" i="23"/>
  <c r="E998" i="23"/>
  <c r="F998" i="23" s="1"/>
  <c r="C998" i="23"/>
  <c r="E997" i="23"/>
  <c r="F997" i="23" s="1"/>
  <c r="C997" i="23"/>
  <c r="F996" i="23"/>
  <c r="E996" i="23"/>
  <c r="C996" i="23"/>
  <c r="F995" i="23"/>
  <c r="E995" i="23"/>
  <c r="C995" i="23"/>
  <c r="F994" i="23"/>
  <c r="E994" i="23"/>
  <c r="C994" i="23"/>
  <c r="E993" i="23"/>
  <c r="F993" i="23" s="1"/>
  <c r="C993" i="23"/>
  <c r="E992" i="23"/>
  <c r="F992" i="23" s="1"/>
  <c r="C992" i="23"/>
  <c r="E991" i="23"/>
  <c r="F991" i="23" s="1"/>
  <c r="C991" i="23"/>
  <c r="E990" i="23"/>
  <c r="F990" i="23" s="1"/>
  <c r="C990" i="23"/>
  <c r="E989" i="23"/>
  <c r="F989" i="23" s="1"/>
  <c r="C989" i="23"/>
  <c r="F988" i="23"/>
  <c r="E988" i="23"/>
  <c r="C988" i="23"/>
  <c r="F987" i="23"/>
  <c r="E987" i="23"/>
  <c r="C987" i="23"/>
  <c r="F986" i="23"/>
  <c r="E986" i="23"/>
  <c r="C986" i="23"/>
  <c r="E985" i="23"/>
  <c r="F985" i="23" s="1"/>
  <c r="C985" i="23"/>
  <c r="E984" i="23"/>
  <c r="F984" i="23" s="1"/>
  <c r="C984" i="23"/>
  <c r="E983" i="23"/>
  <c r="F983" i="23" s="1"/>
  <c r="C983" i="23"/>
  <c r="E982" i="23"/>
  <c r="F982" i="23" s="1"/>
  <c r="C982" i="23"/>
  <c r="E981" i="23"/>
  <c r="F981" i="23" s="1"/>
  <c r="C981" i="23"/>
  <c r="E980" i="23"/>
  <c r="F980" i="23" s="1"/>
  <c r="C980" i="23"/>
  <c r="F979" i="23"/>
  <c r="E979" i="23"/>
  <c r="C979" i="23"/>
  <c r="F978" i="23"/>
  <c r="E978" i="23"/>
  <c r="C978" i="23"/>
  <c r="E977" i="23"/>
  <c r="F977" i="23" s="1"/>
  <c r="C977" i="23"/>
  <c r="E976" i="23"/>
  <c r="F976" i="23" s="1"/>
  <c r="C976" i="23"/>
  <c r="F975" i="23"/>
  <c r="E975" i="23"/>
  <c r="C975" i="23"/>
  <c r="E974" i="23"/>
  <c r="F974" i="23" s="1"/>
  <c r="C974" i="23"/>
  <c r="E973" i="23"/>
  <c r="F973" i="23" s="1"/>
  <c r="C973" i="23"/>
  <c r="E972" i="23"/>
  <c r="F972" i="23" s="1"/>
  <c r="C972" i="23"/>
  <c r="F971" i="23"/>
  <c r="E971" i="23"/>
  <c r="C971" i="23"/>
  <c r="F970" i="23"/>
  <c r="E970" i="23"/>
  <c r="C970" i="23"/>
  <c r="E969" i="23"/>
  <c r="F969" i="23" s="1"/>
  <c r="C969" i="23"/>
  <c r="E968" i="23"/>
  <c r="F968" i="23" s="1"/>
  <c r="C968" i="23"/>
  <c r="F967" i="23"/>
  <c r="E967" i="23"/>
  <c r="C967" i="23"/>
  <c r="E966" i="23"/>
  <c r="F966" i="23" s="1"/>
  <c r="C966" i="23"/>
  <c r="E965" i="23"/>
  <c r="F965" i="23" s="1"/>
  <c r="C965" i="23"/>
  <c r="E964" i="23"/>
  <c r="F964" i="23" s="1"/>
  <c r="C964" i="23"/>
  <c r="F963" i="23"/>
  <c r="E963" i="23"/>
  <c r="C963" i="23"/>
  <c r="F962" i="23"/>
  <c r="E962" i="23"/>
  <c r="C962" i="23"/>
  <c r="E961" i="23"/>
  <c r="F961" i="23" s="1"/>
  <c r="C961" i="23"/>
  <c r="E960" i="23"/>
  <c r="F960" i="23" s="1"/>
  <c r="C960" i="23"/>
  <c r="F959" i="23"/>
  <c r="E959" i="23"/>
  <c r="C959" i="23"/>
  <c r="E958" i="23"/>
  <c r="F958" i="23" s="1"/>
  <c r="C958" i="23"/>
  <c r="E957" i="23"/>
  <c r="F957" i="23" s="1"/>
  <c r="C957" i="23"/>
  <c r="E956" i="23"/>
  <c r="F956" i="23" s="1"/>
  <c r="C956" i="23"/>
  <c r="F955" i="23"/>
  <c r="E955" i="23"/>
  <c r="C955" i="23"/>
  <c r="F954" i="23"/>
  <c r="E954" i="23"/>
  <c r="C954" i="23"/>
  <c r="E953" i="23"/>
  <c r="F953" i="23" s="1"/>
  <c r="C953" i="23"/>
  <c r="E952" i="23"/>
  <c r="F952" i="23" s="1"/>
  <c r="C952" i="23"/>
  <c r="F951" i="23"/>
  <c r="E951" i="23"/>
  <c r="C951" i="23"/>
  <c r="E950" i="23"/>
  <c r="F950" i="23" s="1"/>
  <c r="C950" i="23"/>
  <c r="E949" i="23"/>
  <c r="F949" i="23" s="1"/>
  <c r="C949" i="23"/>
  <c r="E948" i="23"/>
  <c r="F948" i="23" s="1"/>
  <c r="C948" i="23"/>
  <c r="F947" i="23"/>
  <c r="E947" i="23"/>
  <c r="C947" i="23"/>
  <c r="E946" i="23"/>
  <c r="F946" i="23" s="1"/>
  <c r="C946" i="23"/>
  <c r="E945" i="23"/>
  <c r="F945" i="23" s="1"/>
  <c r="C945" i="23"/>
  <c r="E944" i="23"/>
  <c r="F944" i="23" s="1"/>
  <c r="C944" i="23"/>
  <c r="F943" i="23"/>
  <c r="E943" i="23"/>
  <c r="C943" i="23"/>
  <c r="E942" i="23"/>
  <c r="F942" i="23" s="1"/>
  <c r="C942" i="23"/>
  <c r="E941" i="23"/>
  <c r="F941" i="23" s="1"/>
  <c r="C941" i="23"/>
  <c r="E940" i="23"/>
  <c r="F940" i="23" s="1"/>
  <c r="C940" i="23"/>
  <c r="F939" i="23"/>
  <c r="E939" i="23"/>
  <c r="C939" i="23"/>
  <c r="F938" i="23"/>
  <c r="E938" i="23"/>
  <c r="C938" i="23"/>
  <c r="E937" i="23"/>
  <c r="F937" i="23" s="1"/>
  <c r="C937" i="23"/>
  <c r="E936" i="23"/>
  <c r="F936" i="23" s="1"/>
  <c r="C936" i="23"/>
  <c r="F935" i="23"/>
  <c r="E935" i="23"/>
  <c r="C935" i="23"/>
  <c r="E934" i="23"/>
  <c r="F934" i="23" s="1"/>
  <c r="C934" i="23"/>
  <c r="E933" i="23"/>
  <c r="F933" i="23" s="1"/>
  <c r="C933" i="23"/>
  <c r="E932" i="23"/>
  <c r="F932" i="23" s="1"/>
  <c r="C932" i="23"/>
  <c r="F931" i="23"/>
  <c r="E931" i="23"/>
  <c r="C931" i="23"/>
  <c r="F930" i="23"/>
  <c r="E930" i="23"/>
  <c r="C930" i="23"/>
  <c r="E929" i="23"/>
  <c r="F929" i="23" s="1"/>
  <c r="C929" i="23"/>
  <c r="E928" i="23"/>
  <c r="F928" i="23" s="1"/>
  <c r="C928" i="23"/>
  <c r="F927" i="23"/>
  <c r="E927" i="23"/>
  <c r="C927" i="23"/>
  <c r="E926" i="23"/>
  <c r="F926" i="23" s="1"/>
  <c r="C926" i="23"/>
  <c r="E925" i="23"/>
  <c r="F925" i="23" s="1"/>
  <c r="C925" i="23"/>
  <c r="E924" i="23"/>
  <c r="F924" i="23" s="1"/>
  <c r="C924" i="23"/>
  <c r="F923" i="23"/>
  <c r="E923" i="23"/>
  <c r="C923" i="23"/>
  <c r="F922" i="23"/>
  <c r="E922" i="23"/>
  <c r="C922" i="23"/>
  <c r="E921" i="23"/>
  <c r="F921" i="23" s="1"/>
  <c r="C921" i="23"/>
  <c r="E920" i="23"/>
  <c r="F920" i="23" s="1"/>
  <c r="C920" i="23"/>
  <c r="F919" i="23"/>
  <c r="E919" i="23"/>
  <c r="C919" i="23"/>
  <c r="E918" i="23"/>
  <c r="F918" i="23" s="1"/>
  <c r="C918" i="23"/>
  <c r="E917" i="23"/>
  <c r="F917" i="23" s="1"/>
  <c r="C917" i="23"/>
  <c r="E916" i="23"/>
  <c r="F916" i="23" s="1"/>
  <c r="C916" i="23"/>
  <c r="F915" i="23"/>
  <c r="E915" i="23"/>
  <c r="C915" i="23"/>
  <c r="F914" i="23"/>
  <c r="E914" i="23"/>
  <c r="C914" i="23"/>
  <c r="E913" i="23"/>
  <c r="F913" i="23" s="1"/>
  <c r="C913" i="23"/>
  <c r="E912" i="23"/>
  <c r="F912" i="23" s="1"/>
  <c r="C912" i="23"/>
  <c r="F911" i="23"/>
  <c r="E911" i="23"/>
  <c r="C911" i="23"/>
  <c r="E910" i="23"/>
  <c r="F910" i="23" s="1"/>
  <c r="C910" i="23"/>
  <c r="E909" i="23"/>
  <c r="F909" i="23" s="1"/>
  <c r="C909" i="23"/>
  <c r="E908" i="23"/>
  <c r="F908" i="23" s="1"/>
  <c r="C908" i="23"/>
  <c r="F907" i="23"/>
  <c r="E907" i="23"/>
  <c r="C907" i="23"/>
  <c r="F906" i="23"/>
  <c r="E906" i="23"/>
  <c r="C906" i="23"/>
  <c r="E905" i="23"/>
  <c r="F905" i="23" s="1"/>
  <c r="C905" i="23"/>
  <c r="E904" i="23"/>
  <c r="F904" i="23" s="1"/>
  <c r="C904" i="23"/>
  <c r="F903" i="23"/>
  <c r="E903" i="23"/>
  <c r="C903" i="23"/>
  <c r="E902" i="23"/>
  <c r="F902" i="23" s="1"/>
  <c r="C902" i="23"/>
  <c r="E901" i="23"/>
  <c r="F901" i="23" s="1"/>
  <c r="C901" i="23"/>
  <c r="F900" i="23"/>
  <c r="E900" i="23"/>
  <c r="C900" i="23"/>
  <c r="F899" i="23"/>
  <c r="E899" i="23"/>
  <c r="C899" i="23"/>
  <c r="F898" i="23"/>
  <c r="E898" i="23"/>
  <c r="C898" i="23"/>
  <c r="E897" i="23"/>
  <c r="F897" i="23" s="1"/>
  <c r="C897" i="23"/>
  <c r="E896" i="23"/>
  <c r="F896" i="23" s="1"/>
  <c r="C896" i="23"/>
  <c r="F895" i="23"/>
  <c r="E895" i="23"/>
  <c r="C895" i="23"/>
  <c r="E894" i="23"/>
  <c r="F894" i="23" s="1"/>
  <c r="C894" i="23"/>
  <c r="E893" i="23"/>
  <c r="F893" i="23" s="1"/>
  <c r="C893" i="23"/>
  <c r="F892" i="23"/>
  <c r="E892" i="23"/>
  <c r="C892" i="23"/>
  <c r="F891" i="23"/>
  <c r="E891" i="23"/>
  <c r="C891" i="23"/>
  <c r="F890" i="23"/>
  <c r="E890" i="23"/>
  <c r="C890" i="23"/>
  <c r="E889" i="23"/>
  <c r="F889" i="23" s="1"/>
  <c r="C889" i="23"/>
  <c r="E888" i="23"/>
  <c r="F888" i="23" s="1"/>
  <c r="C888" i="23"/>
  <c r="F887" i="23"/>
  <c r="E887" i="23"/>
  <c r="C887" i="23"/>
  <c r="E886" i="23"/>
  <c r="F886" i="23" s="1"/>
  <c r="C886" i="23"/>
  <c r="E885" i="23"/>
  <c r="F885" i="23" s="1"/>
  <c r="C885" i="23"/>
  <c r="F884" i="23"/>
  <c r="E884" i="23"/>
  <c r="C884" i="23"/>
  <c r="F883" i="23"/>
  <c r="E883" i="23"/>
  <c r="C883" i="23"/>
  <c r="F882" i="23"/>
  <c r="E882" i="23"/>
  <c r="C882" i="23"/>
  <c r="E881" i="23"/>
  <c r="F881" i="23" s="1"/>
  <c r="C881" i="23"/>
  <c r="E880" i="23"/>
  <c r="F880" i="23" s="1"/>
  <c r="C880" i="23"/>
  <c r="F879" i="23"/>
  <c r="E879" i="23"/>
  <c r="C879" i="23"/>
  <c r="E878" i="23"/>
  <c r="F878" i="23" s="1"/>
  <c r="C878" i="23"/>
  <c r="E877" i="23"/>
  <c r="F877" i="23" s="1"/>
  <c r="C877" i="23"/>
  <c r="E876" i="23"/>
  <c r="F876" i="23" s="1"/>
  <c r="C876" i="23"/>
  <c r="F875" i="23"/>
  <c r="E875" i="23"/>
  <c r="C875" i="23"/>
  <c r="F874" i="23"/>
  <c r="E874" i="23"/>
  <c r="C874" i="23"/>
  <c r="E873" i="23"/>
  <c r="F873" i="23" s="1"/>
  <c r="C873" i="23"/>
  <c r="E872" i="23"/>
  <c r="F872" i="23" s="1"/>
  <c r="C872" i="23"/>
  <c r="F871" i="23"/>
  <c r="E871" i="23"/>
  <c r="C871" i="23"/>
  <c r="E870" i="23"/>
  <c r="F870" i="23" s="1"/>
  <c r="C870" i="23"/>
  <c r="E869" i="23"/>
  <c r="F869" i="23" s="1"/>
  <c r="C869" i="23"/>
  <c r="E868" i="23"/>
  <c r="F868" i="23" s="1"/>
  <c r="C868" i="23"/>
  <c r="F867" i="23"/>
  <c r="E867" i="23"/>
  <c r="C867" i="23"/>
  <c r="F866" i="23"/>
  <c r="E866" i="23"/>
  <c r="C866" i="23"/>
  <c r="E865" i="23"/>
  <c r="F865" i="23" s="1"/>
  <c r="C865" i="23"/>
  <c r="E864" i="23"/>
  <c r="F864" i="23" s="1"/>
  <c r="C864" i="23"/>
  <c r="F863" i="23"/>
  <c r="E863" i="23"/>
  <c r="C863" i="23"/>
  <c r="E862" i="23"/>
  <c r="F862" i="23" s="1"/>
  <c r="C862" i="23"/>
  <c r="E861" i="23"/>
  <c r="F861" i="23" s="1"/>
  <c r="C861" i="23"/>
  <c r="F860" i="23"/>
  <c r="E860" i="23"/>
  <c r="C860" i="23"/>
  <c r="F859" i="23"/>
  <c r="E859" i="23"/>
  <c r="C859" i="23"/>
  <c r="F858" i="23"/>
  <c r="E858" i="23"/>
  <c r="C858" i="23"/>
  <c r="E857" i="23"/>
  <c r="F857" i="23" s="1"/>
  <c r="C857" i="23"/>
  <c r="E856" i="23"/>
  <c r="F856" i="23" s="1"/>
  <c r="C856" i="23"/>
  <c r="F855" i="23"/>
  <c r="E855" i="23"/>
  <c r="C855" i="23"/>
  <c r="E854" i="23"/>
  <c r="F854" i="23" s="1"/>
  <c r="C854" i="23"/>
  <c r="E853" i="23"/>
  <c r="F853" i="23" s="1"/>
  <c r="C853" i="23"/>
  <c r="F852" i="23"/>
  <c r="E852" i="23"/>
  <c r="C852" i="23"/>
  <c r="F851" i="23"/>
  <c r="E851" i="23"/>
  <c r="C851" i="23"/>
  <c r="F850" i="23"/>
  <c r="E850" i="23"/>
  <c r="C850" i="23"/>
  <c r="E849" i="23"/>
  <c r="F849" i="23" s="1"/>
  <c r="C849" i="23"/>
  <c r="E848" i="23"/>
  <c r="F848" i="23" s="1"/>
  <c r="C848" i="23"/>
  <c r="E847" i="23"/>
  <c r="F847" i="23" s="1"/>
  <c r="C847" i="23"/>
  <c r="E846" i="23"/>
  <c r="F846" i="23" s="1"/>
  <c r="C846" i="23"/>
  <c r="E845" i="23"/>
  <c r="F845" i="23" s="1"/>
  <c r="C845" i="23"/>
  <c r="F844" i="23"/>
  <c r="E844" i="23"/>
  <c r="C844" i="23"/>
  <c r="F843" i="23"/>
  <c r="E843" i="23"/>
  <c r="C843" i="23"/>
  <c r="F842" i="23"/>
  <c r="E842" i="23"/>
  <c r="C842" i="23"/>
  <c r="E841" i="23"/>
  <c r="F841" i="23" s="1"/>
  <c r="C841" i="23"/>
  <c r="E840" i="23"/>
  <c r="F840" i="23" s="1"/>
  <c r="C840" i="23"/>
  <c r="E839" i="23"/>
  <c r="F839" i="23" s="1"/>
  <c r="C839" i="23"/>
  <c r="E838" i="23"/>
  <c r="F838" i="23" s="1"/>
  <c r="C838" i="23"/>
  <c r="E837" i="23"/>
  <c r="F837" i="23" s="1"/>
  <c r="C837" i="23"/>
  <c r="F836" i="23"/>
  <c r="E836" i="23"/>
  <c r="C836" i="23"/>
  <c r="F835" i="23"/>
  <c r="E835" i="23"/>
  <c r="C835" i="23"/>
  <c r="F834" i="23"/>
  <c r="E834" i="23"/>
  <c r="C834" i="23"/>
  <c r="E833" i="23"/>
  <c r="F833" i="23" s="1"/>
  <c r="C833" i="23"/>
  <c r="F832" i="23"/>
  <c r="E832" i="23"/>
  <c r="C832" i="23"/>
  <c r="E831" i="23"/>
  <c r="F831" i="23" s="1"/>
  <c r="C831" i="23"/>
  <c r="E830" i="23"/>
  <c r="F830" i="23" s="1"/>
  <c r="C830" i="23"/>
  <c r="E829" i="23"/>
  <c r="F829" i="23" s="1"/>
  <c r="C829" i="23"/>
  <c r="F828" i="23"/>
  <c r="E828" i="23"/>
  <c r="C828" i="23"/>
  <c r="F827" i="23"/>
  <c r="E827" i="23"/>
  <c r="C827" i="23"/>
  <c r="F826" i="23"/>
  <c r="E826" i="23"/>
  <c r="C826" i="23"/>
  <c r="E825" i="23"/>
  <c r="F825" i="23" s="1"/>
  <c r="C825" i="23"/>
  <c r="E824" i="23"/>
  <c r="F824" i="23" s="1"/>
  <c r="C824" i="23"/>
  <c r="E823" i="23"/>
  <c r="F823" i="23" s="1"/>
  <c r="C823" i="23"/>
  <c r="E822" i="23"/>
  <c r="F822" i="23" s="1"/>
  <c r="C822" i="23"/>
  <c r="E821" i="23"/>
  <c r="F821" i="23" s="1"/>
  <c r="C821" i="23"/>
  <c r="F820" i="23"/>
  <c r="E820" i="23"/>
  <c r="C820" i="23"/>
  <c r="F819" i="23"/>
  <c r="E819" i="23"/>
  <c r="C819" i="23"/>
  <c r="F818" i="23"/>
  <c r="E818" i="23"/>
  <c r="C818" i="23"/>
  <c r="E817" i="23"/>
  <c r="F817" i="23" s="1"/>
  <c r="C817" i="23"/>
  <c r="F816" i="23"/>
  <c r="E816" i="23"/>
  <c r="C816" i="23"/>
  <c r="E815" i="23"/>
  <c r="F815" i="23" s="1"/>
  <c r="C815" i="23"/>
  <c r="E814" i="23"/>
  <c r="F814" i="23" s="1"/>
  <c r="C814" i="23"/>
  <c r="E813" i="23"/>
  <c r="F813" i="23" s="1"/>
  <c r="C813" i="23"/>
  <c r="F812" i="23"/>
  <c r="E812" i="23"/>
  <c r="C812" i="23"/>
  <c r="F811" i="23"/>
  <c r="E811" i="23"/>
  <c r="C811" i="23"/>
  <c r="F810" i="23"/>
  <c r="E810" i="23"/>
  <c r="C810" i="23"/>
  <c r="E809" i="23"/>
  <c r="F809" i="23" s="1"/>
  <c r="C809" i="23"/>
  <c r="F808" i="23"/>
  <c r="E808" i="23"/>
  <c r="C808" i="23"/>
  <c r="E807" i="23"/>
  <c r="F807" i="23" s="1"/>
  <c r="C807" i="23"/>
  <c r="E806" i="23"/>
  <c r="F806" i="23" s="1"/>
  <c r="C806" i="23"/>
  <c r="E805" i="23"/>
  <c r="F805" i="23" s="1"/>
  <c r="C805" i="23"/>
  <c r="F804" i="23"/>
  <c r="E804" i="23"/>
  <c r="C804" i="23"/>
  <c r="F803" i="23"/>
  <c r="E803" i="23"/>
  <c r="C803" i="23"/>
  <c r="F802" i="23"/>
  <c r="E802" i="23"/>
  <c r="C802" i="23"/>
  <c r="E801" i="23"/>
  <c r="F801" i="23" s="1"/>
  <c r="C801" i="23"/>
  <c r="F800" i="23"/>
  <c r="E800" i="23"/>
  <c r="C800" i="23"/>
  <c r="E799" i="23"/>
  <c r="F799" i="23" s="1"/>
  <c r="C799" i="23"/>
  <c r="E798" i="23"/>
  <c r="F798" i="23" s="1"/>
  <c r="C798" i="23"/>
  <c r="E797" i="23"/>
  <c r="F797" i="23" s="1"/>
  <c r="C797" i="23"/>
  <c r="F796" i="23"/>
  <c r="E796" i="23"/>
  <c r="C796" i="23"/>
  <c r="F795" i="23"/>
  <c r="E795" i="23"/>
  <c r="C795" i="23"/>
  <c r="F794" i="23"/>
  <c r="E794" i="23"/>
  <c r="C794" i="23"/>
  <c r="E793" i="23"/>
  <c r="F793" i="23" s="1"/>
  <c r="C793" i="23"/>
  <c r="F792" i="23"/>
  <c r="E792" i="23"/>
  <c r="C792" i="23"/>
  <c r="E791" i="23"/>
  <c r="F791" i="23" s="1"/>
  <c r="C791" i="23"/>
  <c r="E790" i="23"/>
  <c r="F790" i="23" s="1"/>
  <c r="C790" i="23"/>
  <c r="E789" i="23"/>
  <c r="F789" i="23" s="1"/>
  <c r="C789" i="23"/>
  <c r="F788" i="23"/>
  <c r="E788" i="23"/>
  <c r="C788" i="23"/>
  <c r="F787" i="23"/>
  <c r="E787" i="23"/>
  <c r="C787" i="23"/>
  <c r="E786" i="23"/>
  <c r="F786" i="23" s="1"/>
  <c r="C786" i="23"/>
  <c r="E785" i="23"/>
  <c r="F785" i="23" s="1"/>
  <c r="C785" i="23"/>
  <c r="F784" i="23"/>
  <c r="E784" i="23"/>
  <c r="C784" i="23"/>
  <c r="E783" i="23"/>
  <c r="F783" i="23" s="1"/>
  <c r="C783" i="23"/>
  <c r="E782" i="23"/>
  <c r="F782" i="23" s="1"/>
  <c r="C782" i="23"/>
  <c r="E781" i="23"/>
  <c r="F781" i="23" s="1"/>
  <c r="C781" i="23"/>
  <c r="F780" i="23"/>
  <c r="E780" i="23"/>
  <c r="C780" i="23"/>
  <c r="F779" i="23"/>
  <c r="E779" i="23"/>
  <c r="C779" i="23"/>
  <c r="E778" i="23"/>
  <c r="F778" i="23" s="1"/>
  <c r="C778" i="23"/>
  <c r="E777" i="23"/>
  <c r="F777" i="23" s="1"/>
  <c r="C777" i="23"/>
  <c r="F776" i="23"/>
  <c r="E776" i="23"/>
  <c r="C776" i="23"/>
  <c r="E775" i="23"/>
  <c r="F775" i="23" s="1"/>
  <c r="C775" i="23"/>
  <c r="E774" i="23"/>
  <c r="F774" i="23" s="1"/>
  <c r="C774" i="23"/>
  <c r="E773" i="23"/>
  <c r="F773" i="23" s="1"/>
  <c r="C773" i="23"/>
  <c r="F772" i="23"/>
  <c r="E772" i="23"/>
  <c r="C772" i="23"/>
  <c r="F771" i="23"/>
  <c r="E771" i="23"/>
  <c r="C771" i="23"/>
  <c r="E770" i="23"/>
  <c r="F770" i="23" s="1"/>
  <c r="C770" i="23"/>
  <c r="E769" i="23"/>
  <c r="F769" i="23" s="1"/>
  <c r="C769" i="23"/>
  <c r="F768" i="23"/>
  <c r="E768" i="23"/>
  <c r="C768" i="23"/>
  <c r="E767" i="23"/>
  <c r="F767" i="23" s="1"/>
  <c r="C767" i="23"/>
  <c r="E766" i="23"/>
  <c r="F766" i="23" s="1"/>
  <c r="C766" i="23"/>
  <c r="E765" i="23"/>
  <c r="F765" i="23" s="1"/>
  <c r="C765" i="23"/>
  <c r="F764" i="23"/>
  <c r="E764" i="23"/>
  <c r="C764" i="23"/>
  <c r="F763" i="23"/>
  <c r="E763" i="23"/>
  <c r="C763" i="23"/>
  <c r="E762" i="23"/>
  <c r="F762" i="23" s="1"/>
  <c r="C762" i="23"/>
  <c r="E761" i="23"/>
  <c r="F761" i="23" s="1"/>
  <c r="C761" i="23"/>
  <c r="F760" i="23"/>
  <c r="E760" i="23"/>
  <c r="C760" i="23"/>
  <c r="E759" i="23"/>
  <c r="F759" i="23" s="1"/>
  <c r="C759" i="23"/>
  <c r="E758" i="23"/>
  <c r="F758" i="23" s="1"/>
  <c r="C758" i="23"/>
  <c r="E757" i="23"/>
  <c r="F757" i="23" s="1"/>
  <c r="C757" i="23"/>
  <c r="F756" i="23"/>
  <c r="E756" i="23"/>
  <c r="C756" i="23"/>
  <c r="F755" i="23"/>
  <c r="E755" i="23"/>
  <c r="C755" i="23"/>
  <c r="E754" i="23"/>
  <c r="F754" i="23" s="1"/>
  <c r="C754" i="23"/>
  <c r="E753" i="23"/>
  <c r="F753" i="23" s="1"/>
  <c r="C753" i="23"/>
  <c r="F752" i="23"/>
  <c r="E752" i="23"/>
  <c r="C752" i="23"/>
  <c r="E751" i="23"/>
  <c r="F751" i="23" s="1"/>
  <c r="C751" i="23"/>
  <c r="E750" i="23"/>
  <c r="F750" i="23" s="1"/>
  <c r="C750" i="23"/>
  <c r="E749" i="23"/>
  <c r="F749" i="23" s="1"/>
  <c r="C749" i="23"/>
  <c r="F748" i="23"/>
  <c r="E748" i="23"/>
  <c r="C748" i="23"/>
  <c r="F747" i="23"/>
  <c r="E747" i="23"/>
  <c r="C747" i="23"/>
  <c r="E746" i="23"/>
  <c r="F746" i="23" s="1"/>
  <c r="C746" i="23"/>
  <c r="E745" i="23"/>
  <c r="F745" i="23" s="1"/>
  <c r="C745" i="23"/>
  <c r="F744" i="23"/>
  <c r="E744" i="23"/>
  <c r="C744" i="23"/>
  <c r="E743" i="23"/>
  <c r="F743" i="23" s="1"/>
  <c r="C743" i="23"/>
  <c r="E742" i="23"/>
  <c r="F742" i="23" s="1"/>
  <c r="C742" i="23"/>
  <c r="E741" i="23"/>
  <c r="F741" i="23" s="1"/>
  <c r="C741" i="23"/>
  <c r="F740" i="23"/>
  <c r="E740" i="23"/>
  <c r="C740" i="23"/>
  <c r="F739" i="23"/>
  <c r="E739" i="23"/>
  <c r="C739" i="23"/>
  <c r="F738" i="23"/>
  <c r="E738" i="23"/>
  <c r="C738" i="23"/>
  <c r="E737" i="23"/>
  <c r="F737" i="23" s="1"/>
  <c r="C737" i="23"/>
  <c r="F736" i="23"/>
  <c r="E736" i="23"/>
  <c r="C736" i="23"/>
  <c r="E735" i="23"/>
  <c r="F735" i="23" s="1"/>
  <c r="C735" i="23"/>
  <c r="E734" i="23"/>
  <c r="F734" i="23" s="1"/>
  <c r="C734" i="23"/>
  <c r="E733" i="23"/>
  <c r="F733" i="23" s="1"/>
  <c r="C733" i="23"/>
  <c r="F732" i="23"/>
  <c r="E732" i="23"/>
  <c r="C732" i="23"/>
  <c r="F731" i="23"/>
  <c r="E731" i="23"/>
  <c r="C731" i="23"/>
  <c r="F730" i="23"/>
  <c r="E730" i="23"/>
  <c r="C730" i="23"/>
  <c r="E729" i="23"/>
  <c r="F729" i="23" s="1"/>
  <c r="C729" i="23"/>
  <c r="F728" i="23"/>
  <c r="E728" i="23"/>
  <c r="C728" i="23"/>
  <c r="E727" i="23"/>
  <c r="F727" i="23" s="1"/>
  <c r="C727" i="23"/>
  <c r="E726" i="23"/>
  <c r="F726" i="23" s="1"/>
  <c r="C726" i="23"/>
  <c r="E725" i="23"/>
  <c r="F725" i="23" s="1"/>
  <c r="C725" i="23"/>
  <c r="F724" i="23"/>
  <c r="E724" i="23"/>
  <c r="C724" i="23"/>
  <c r="F723" i="23"/>
  <c r="E723" i="23"/>
  <c r="C723" i="23"/>
  <c r="F722" i="23"/>
  <c r="E722" i="23"/>
  <c r="C722" i="23"/>
  <c r="E721" i="23"/>
  <c r="F721" i="23" s="1"/>
  <c r="C721" i="23"/>
  <c r="F720" i="23"/>
  <c r="E720" i="23"/>
  <c r="C720" i="23"/>
  <c r="E719" i="23"/>
  <c r="F719" i="23" s="1"/>
  <c r="C719" i="23"/>
  <c r="E718" i="23"/>
  <c r="F718" i="23" s="1"/>
  <c r="C718" i="23"/>
  <c r="E717" i="23"/>
  <c r="F717" i="23" s="1"/>
  <c r="C717" i="23"/>
  <c r="F716" i="23"/>
  <c r="E716" i="23"/>
  <c r="C716" i="23"/>
  <c r="F715" i="23"/>
  <c r="E715" i="23"/>
  <c r="C715" i="23"/>
  <c r="F714" i="23"/>
  <c r="E714" i="23"/>
  <c r="C714" i="23"/>
  <c r="E713" i="23"/>
  <c r="F713" i="23" s="1"/>
  <c r="C713" i="23"/>
  <c r="F712" i="23"/>
  <c r="E712" i="23"/>
  <c r="C712" i="23"/>
  <c r="E711" i="23"/>
  <c r="F711" i="23" s="1"/>
  <c r="C711" i="23"/>
  <c r="E710" i="23"/>
  <c r="F710" i="23" s="1"/>
  <c r="C710" i="23"/>
  <c r="E709" i="23"/>
  <c r="F709" i="23" s="1"/>
  <c r="C709" i="23"/>
  <c r="F708" i="23"/>
  <c r="E708" i="23"/>
  <c r="C708" i="23"/>
  <c r="F707" i="23"/>
  <c r="E707" i="23"/>
  <c r="C707" i="23"/>
  <c r="F706" i="23"/>
  <c r="E706" i="23"/>
  <c r="C706" i="23"/>
  <c r="E705" i="23"/>
  <c r="F705" i="23" s="1"/>
  <c r="C705" i="23"/>
  <c r="F704" i="23"/>
  <c r="E704" i="23"/>
  <c r="C704" i="23"/>
  <c r="E703" i="23"/>
  <c r="F703" i="23" s="1"/>
  <c r="C703" i="23"/>
  <c r="E702" i="23"/>
  <c r="F702" i="23" s="1"/>
  <c r="C702" i="23"/>
  <c r="E701" i="23"/>
  <c r="F701" i="23" s="1"/>
  <c r="C701" i="23"/>
  <c r="F700" i="23"/>
  <c r="E700" i="23"/>
  <c r="C700" i="23"/>
  <c r="F699" i="23"/>
  <c r="E699" i="23"/>
  <c r="C699" i="23"/>
  <c r="F698" i="23"/>
  <c r="E698" i="23"/>
  <c r="C698" i="23"/>
  <c r="E697" i="23"/>
  <c r="F697" i="23" s="1"/>
  <c r="C697" i="23"/>
  <c r="F696" i="23"/>
  <c r="E696" i="23"/>
  <c r="C696" i="23"/>
  <c r="E695" i="23"/>
  <c r="F695" i="23" s="1"/>
  <c r="C695" i="23"/>
  <c r="E694" i="23"/>
  <c r="F694" i="23" s="1"/>
  <c r="C694" i="23"/>
  <c r="E693" i="23"/>
  <c r="F693" i="23" s="1"/>
  <c r="C693" i="23"/>
  <c r="F692" i="23"/>
  <c r="E692" i="23"/>
  <c r="C692" i="23"/>
  <c r="F691" i="23"/>
  <c r="E691" i="23"/>
  <c r="C691" i="23"/>
  <c r="F690" i="23"/>
  <c r="E690" i="23"/>
  <c r="C690" i="23"/>
  <c r="E689" i="23"/>
  <c r="F689" i="23" s="1"/>
  <c r="C689" i="23"/>
  <c r="F688" i="23"/>
  <c r="E688" i="23"/>
  <c r="C688" i="23"/>
  <c r="E687" i="23"/>
  <c r="F687" i="23" s="1"/>
  <c r="C687" i="23"/>
  <c r="E686" i="23"/>
  <c r="F686" i="23" s="1"/>
  <c r="C686" i="23"/>
  <c r="E685" i="23"/>
  <c r="F685" i="23" s="1"/>
  <c r="C685" i="23"/>
  <c r="F684" i="23"/>
  <c r="E684" i="23"/>
  <c r="C684" i="23"/>
  <c r="F683" i="23"/>
  <c r="E683" i="23"/>
  <c r="C683" i="23"/>
  <c r="F682" i="23"/>
  <c r="E682" i="23"/>
  <c r="C682" i="23"/>
  <c r="E681" i="23"/>
  <c r="F681" i="23" s="1"/>
  <c r="C681" i="23"/>
  <c r="F680" i="23"/>
  <c r="E680" i="23"/>
  <c r="C680" i="23"/>
  <c r="E679" i="23"/>
  <c r="F679" i="23" s="1"/>
  <c r="C679" i="23"/>
  <c r="E678" i="23"/>
  <c r="F678" i="23" s="1"/>
  <c r="C678" i="23"/>
  <c r="E677" i="23"/>
  <c r="F677" i="23" s="1"/>
  <c r="C677" i="23"/>
  <c r="F676" i="23"/>
  <c r="E676" i="23"/>
  <c r="C676" i="23"/>
  <c r="F675" i="23"/>
  <c r="E675" i="23"/>
  <c r="C675" i="23"/>
  <c r="F674" i="23"/>
  <c r="E674" i="23"/>
  <c r="C674" i="23"/>
  <c r="E673" i="23"/>
  <c r="F673" i="23" s="1"/>
  <c r="C673" i="23"/>
  <c r="F672" i="23"/>
  <c r="E672" i="23"/>
  <c r="C672" i="23"/>
  <c r="E671" i="23"/>
  <c r="F671" i="23" s="1"/>
  <c r="C671" i="23"/>
  <c r="E670" i="23"/>
  <c r="F670" i="23" s="1"/>
  <c r="C670" i="23"/>
  <c r="E669" i="23"/>
  <c r="F669" i="23" s="1"/>
  <c r="C669" i="23"/>
  <c r="F668" i="23"/>
  <c r="E668" i="23"/>
  <c r="C668" i="23"/>
  <c r="F667" i="23"/>
  <c r="E667" i="23"/>
  <c r="C667" i="23"/>
  <c r="F666" i="23"/>
  <c r="E666" i="23"/>
  <c r="C666" i="23"/>
  <c r="E665" i="23"/>
  <c r="F665" i="23" s="1"/>
  <c r="C665" i="23"/>
  <c r="F664" i="23"/>
  <c r="E664" i="23"/>
  <c r="C664" i="23"/>
  <c r="E663" i="23"/>
  <c r="F663" i="23" s="1"/>
  <c r="C663" i="23"/>
  <c r="E662" i="23"/>
  <c r="F662" i="23" s="1"/>
  <c r="C662" i="23"/>
  <c r="E661" i="23"/>
  <c r="F661" i="23" s="1"/>
  <c r="C661" i="23"/>
  <c r="F660" i="23"/>
  <c r="E660" i="23"/>
  <c r="C660" i="23"/>
  <c r="F659" i="23"/>
  <c r="E659" i="23"/>
  <c r="C659" i="23"/>
  <c r="F658" i="23"/>
  <c r="E658" i="23"/>
  <c r="C658" i="23"/>
  <c r="E657" i="23"/>
  <c r="F657" i="23" s="1"/>
  <c r="C657" i="23"/>
  <c r="F656" i="23"/>
  <c r="E656" i="23"/>
  <c r="C656" i="23"/>
  <c r="E655" i="23"/>
  <c r="F655" i="23" s="1"/>
  <c r="C655" i="23"/>
  <c r="E654" i="23"/>
  <c r="F654" i="23" s="1"/>
  <c r="C654" i="23"/>
  <c r="E653" i="23"/>
  <c r="F653" i="23" s="1"/>
  <c r="C653" i="23"/>
  <c r="F652" i="23"/>
  <c r="E652" i="23"/>
  <c r="C652" i="23"/>
  <c r="F651" i="23"/>
  <c r="E651" i="23"/>
  <c r="C651" i="23"/>
  <c r="F650" i="23"/>
  <c r="E650" i="23"/>
  <c r="C650" i="23"/>
  <c r="E649" i="23"/>
  <c r="F649" i="23" s="1"/>
  <c r="C649" i="23"/>
  <c r="F648" i="23"/>
  <c r="E648" i="23"/>
  <c r="C648" i="23"/>
  <c r="E647" i="23"/>
  <c r="F647" i="23" s="1"/>
  <c r="C647" i="23"/>
  <c r="E646" i="23"/>
  <c r="F646" i="23" s="1"/>
  <c r="C646" i="23"/>
  <c r="E645" i="23"/>
  <c r="F645" i="23" s="1"/>
  <c r="C645" i="23"/>
  <c r="F644" i="23"/>
  <c r="E644" i="23"/>
  <c r="C644" i="23"/>
  <c r="F643" i="23"/>
  <c r="E643" i="23"/>
  <c r="C643" i="23"/>
  <c r="F642" i="23"/>
  <c r="E642" i="23"/>
  <c r="C642" i="23"/>
  <c r="E641" i="23"/>
  <c r="F641" i="23" s="1"/>
  <c r="C641" i="23"/>
  <c r="F640" i="23"/>
  <c r="E640" i="23"/>
  <c r="C640" i="23"/>
  <c r="E639" i="23"/>
  <c r="F639" i="23" s="1"/>
  <c r="C639" i="23"/>
  <c r="E638" i="23"/>
  <c r="F638" i="23" s="1"/>
  <c r="C638" i="23"/>
  <c r="E637" i="23"/>
  <c r="F637" i="23" s="1"/>
  <c r="C637" i="23"/>
  <c r="F636" i="23"/>
  <c r="E636" i="23"/>
  <c r="C636" i="23"/>
  <c r="F635" i="23"/>
  <c r="E635" i="23"/>
  <c r="C635" i="23"/>
  <c r="F634" i="23"/>
  <c r="E634" i="23"/>
  <c r="C634" i="23"/>
  <c r="E633" i="23"/>
  <c r="F633" i="23" s="1"/>
  <c r="C633" i="23"/>
  <c r="F632" i="23"/>
  <c r="E632" i="23"/>
  <c r="C632" i="23"/>
  <c r="E631" i="23"/>
  <c r="F631" i="23" s="1"/>
  <c r="C631" i="23"/>
  <c r="E630" i="23"/>
  <c r="F630" i="23" s="1"/>
  <c r="C630" i="23"/>
  <c r="E629" i="23"/>
  <c r="F629" i="23" s="1"/>
  <c r="C629" i="23"/>
  <c r="F628" i="23"/>
  <c r="E628" i="23"/>
  <c r="C628" i="23"/>
  <c r="F627" i="23"/>
  <c r="E627" i="23"/>
  <c r="C627" i="23"/>
  <c r="F626" i="23"/>
  <c r="E626" i="23"/>
  <c r="C626" i="23"/>
  <c r="E625" i="23"/>
  <c r="F625" i="23" s="1"/>
  <c r="C625" i="23"/>
  <c r="F624" i="23"/>
  <c r="E624" i="23"/>
  <c r="C624" i="23"/>
  <c r="E623" i="23"/>
  <c r="F623" i="23" s="1"/>
  <c r="C623" i="23"/>
  <c r="E622" i="23"/>
  <c r="F622" i="23" s="1"/>
  <c r="C622" i="23"/>
  <c r="E621" i="23"/>
  <c r="F621" i="23" s="1"/>
  <c r="C621" i="23"/>
  <c r="F620" i="23"/>
  <c r="E620" i="23"/>
  <c r="C620" i="23"/>
  <c r="F619" i="23"/>
  <c r="E619" i="23"/>
  <c r="C619" i="23"/>
  <c r="F618" i="23"/>
  <c r="E618" i="23"/>
  <c r="C618" i="23"/>
  <c r="E617" i="23"/>
  <c r="F617" i="23" s="1"/>
  <c r="C617" i="23"/>
  <c r="F616" i="23"/>
  <c r="E616" i="23"/>
  <c r="C616" i="23"/>
  <c r="E615" i="23"/>
  <c r="F615" i="23" s="1"/>
  <c r="C615" i="23"/>
  <c r="E614" i="23"/>
  <c r="F614" i="23" s="1"/>
  <c r="C614" i="23"/>
  <c r="E613" i="23"/>
  <c r="F613" i="23" s="1"/>
  <c r="C613" i="23"/>
  <c r="F612" i="23"/>
  <c r="E612" i="23"/>
  <c r="C612" i="23"/>
  <c r="F611" i="23"/>
  <c r="E611" i="23"/>
  <c r="C611" i="23"/>
  <c r="F610" i="23"/>
  <c r="E610" i="23"/>
  <c r="C610" i="23"/>
  <c r="E609" i="23"/>
  <c r="F609" i="23" s="1"/>
  <c r="C609" i="23"/>
  <c r="F608" i="23"/>
  <c r="E608" i="23"/>
  <c r="C608" i="23"/>
  <c r="E607" i="23"/>
  <c r="F607" i="23" s="1"/>
  <c r="C607" i="23"/>
  <c r="E606" i="23"/>
  <c r="F606" i="23" s="1"/>
  <c r="C606" i="23"/>
  <c r="E605" i="23"/>
  <c r="F605" i="23" s="1"/>
  <c r="C605" i="23"/>
  <c r="F604" i="23"/>
  <c r="E604" i="23"/>
  <c r="C604" i="23"/>
  <c r="F603" i="23"/>
  <c r="E603" i="23"/>
  <c r="C603" i="23"/>
  <c r="F602" i="23"/>
  <c r="E602" i="23"/>
  <c r="C602" i="23"/>
  <c r="E601" i="23"/>
  <c r="F601" i="23" s="1"/>
  <c r="C601" i="23"/>
  <c r="F600" i="23"/>
  <c r="E600" i="23"/>
  <c r="C600" i="23"/>
  <c r="E599" i="23"/>
  <c r="F599" i="23" s="1"/>
  <c r="C599" i="23"/>
  <c r="E598" i="23"/>
  <c r="F598" i="23" s="1"/>
  <c r="C598" i="23"/>
  <c r="E597" i="23"/>
  <c r="F597" i="23" s="1"/>
  <c r="C597" i="23"/>
  <c r="F596" i="23"/>
  <c r="E596" i="23"/>
  <c r="C596" i="23"/>
  <c r="F595" i="23"/>
  <c r="E595" i="23"/>
  <c r="C595" i="23"/>
  <c r="F594" i="23"/>
  <c r="E594" i="23"/>
  <c r="C594" i="23"/>
  <c r="E593" i="23"/>
  <c r="F593" i="23" s="1"/>
  <c r="C593" i="23"/>
  <c r="F592" i="23"/>
  <c r="E592" i="23"/>
  <c r="C592" i="23"/>
  <c r="E591" i="23"/>
  <c r="F591" i="23" s="1"/>
  <c r="C591" i="23"/>
  <c r="E590" i="23"/>
  <c r="F590" i="23" s="1"/>
  <c r="C590" i="23"/>
  <c r="E589" i="23"/>
  <c r="F589" i="23" s="1"/>
  <c r="C589" i="23"/>
  <c r="F588" i="23"/>
  <c r="E588" i="23"/>
  <c r="C588" i="23"/>
  <c r="F587" i="23"/>
  <c r="E587" i="23"/>
  <c r="C587" i="23"/>
  <c r="F586" i="23"/>
  <c r="E586" i="23"/>
  <c r="C586" i="23"/>
  <c r="E585" i="23"/>
  <c r="F585" i="23" s="1"/>
  <c r="C585" i="23"/>
  <c r="F584" i="23"/>
  <c r="E584" i="23"/>
  <c r="C584" i="23"/>
  <c r="E583" i="23"/>
  <c r="F583" i="23" s="1"/>
  <c r="C583" i="23"/>
  <c r="E582" i="23"/>
  <c r="F582" i="23" s="1"/>
  <c r="C582" i="23"/>
  <c r="E581" i="23"/>
  <c r="F581" i="23" s="1"/>
  <c r="C581" i="23"/>
  <c r="F580" i="23"/>
  <c r="E580" i="23"/>
  <c r="C580" i="23"/>
  <c r="F579" i="23"/>
  <c r="E579" i="23"/>
  <c r="C579" i="23"/>
  <c r="F578" i="23"/>
  <c r="E578" i="23"/>
  <c r="C578" i="23"/>
  <c r="E577" i="23"/>
  <c r="F577" i="23" s="1"/>
  <c r="C577" i="23"/>
  <c r="F576" i="23"/>
  <c r="E576" i="23"/>
  <c r="C576" i="23"/>
  <c r="E575" i="23"/>
  <c r="F575" i="23" s="1"/>
  <c r="C575" i="23"/>
  <c r="E574" i="23"/>
  <c r="F574" i="23" s="1"/>
  <c r="C574" i="23"/>
  <c r="E573" i="23"/>
  <c r="F573" i="23" s="1"/>
  <c r="C573" i="23"/>
  <c r="F572" i="23"/>
  <c r="E572" i="23"/>
  <c r="C572" i="23"/>
  <c r="F571" i="23"/>
  <c r="E571" i="23"/>
  <c r="C571" i="23"/>
  <c r="F570" i="23"/>
  <c r="E570" i="23"/>
  <c r="C570" i="23"/>
  <c r="E569" i="23"/>
  <c r="F569" i="23" s="1"/>
  <c r="C569" i="23"/>
  <c r="F568" i="23"/>
  <c r="E568" i="23"/>
  <c r="C568" i="23"/>
  <c r="E567" i="23"/>
  <c r="F567" i="23" s="1"/>
  <c r="C567" i="23"/>
  <c r="E566" i="23"/>
  <c r="F566" i="23" s="1"/>
  <c r="C566" i="23"/>
  <c r="E565" i="23"/>
  <c r="F565" i="23" s="1"/>
  <c r="C565" i="23"/>
  <c r="F564" i="23"/>
  <c r="E564" i="23"/>
  <c r="C564" i="23"/>
  <c r="F563" i="23"/>
  <c r="E563" i="23"/>
  <c r="C563" i="23"/>
  <c r="F562" i="23"/>
  <c r="E562" i="23"/>
  <c r="C562" i="23"/>
  <c r="E561" i="23"/>
  <c r="F561" i="23" s="1"/>
  <c r="C561" i="23"/>
  <c r="F560" i="23"/>
  <c r="E560" i="23"/>
  <c r="C560" i="23"/>
  <c r="E559" i="23"/>
  <c r="F559" i="23" s="1"/>
  <c r="C559" i="23"/>
  <c r="E558" i="23"/>
  <c r="F558" i="23" s="1"/>
  <c r="C558" i="23"/>
  <c r="E557" i="23"/>
  <c r="F557" i="23" s="1"/>
  <c r="C557" i="23"/>
  <c r="F556" i="23"/>
  <c r="E556" i="23"/>
  <c r="C556" i="23"/>
  <c r="F555" i="23"/>
  <c r="E555" i="23"/>
  <c r="C555" i="23"/>
  <c r="F554" i="23"/>
  <c r="E554" i="23"/>
  <c r="C554" i="23"/>
  <c r="E553" i="23"/>
  <c r="F553" i="23" s="1"/>
  <c r="C553" i="23"/>
  <c r="F552" i="23"/>
  <c r="E552" i="23"/>
  <c r="C552" i="23"/>
  <c r="E551" i="23"/>
  <c r="F551" i="23" s="1"/>
  <c r="C551" i="23"/>
  <c r="E550" i="23"/>
  <c r="F550" i="23" s="1"/>
  <c r="C550" i="23"/>
  <c r="E549" i="23"/>
  <c r="F549" i="23" s="1"/>
  <c r="C549" i="23"/>
  <c r="F548" i="23"/>
  <c r="E548" i="23"/>
  <c r="C548" i="23"/>
  <c r="F547" i="23"/>
  <c r="E547" i="23"/>
  <c r="C547" i="23"/>
  <c r="F546" i="23"/>
  <c r="E546" i="23"/>
  <c r="C546" i="23"/>
  <c r="E545" i="23"/>
  <c r="F545" i="23" s="1"/>
  <c r="C545" i="23"/>
  <c r="F544" i="23"/>
  <c r="E544" i="23"/>
  <c r="C544" i="23"/>
  <c r="E543" i="23"/>
  <c r="F543" i="23" s="1"/>
  <c r="C543" i="23"/>
  <c r="E542" i="23"/>
  <c r="F542" i="23" s="1"/>
  <c r="C542" i="23"/>
  <c r="E541" i="23"/>
  <c r="F541" i="23" s="1"/>
  <c r="C541" i="23"/>
  <c r="F540" i="23"/>
  <c r="E540" i="23"/>
  <c r="C540" i="23"/>
  <c r="F539" i="23"/>
  <c r="E539" i="23"/>
  <c r="C539" i="23"/>
  <c r="F538" i="23"/>
  <c r="E538" i="23"/>
  <c r="C538" i="23"/>
  <c r="E537" i="23"/>
  <c r="F537" i="23" s="1"/>
  <c r="C537" i="23"/>
  <c r="F536" i="23"/>
  <c r="E536" i="23"/>
  <c r="C536" i="23"/>
  <c r="E535" i="23"/>
  <c r="F535" i="23" s="1"/>
  <c r="C535" i="23"/>
  <c r="E534" i="23"/>
  <c r="F534" i="23" s="1"/>
  <c r="C534" i="23"/>
  <c r="E533" i="23"/>
  <c r="F533" i="23" s="1"/>
  <c r="C533" i="23"/>
  <c r="F532" i="23"/>
  <c r="E532" i="23"/>
  <c r="C532" i="23"/>
  <c r="F531" i="23"/>
  <c r="E531" i="23"/>
  <c r="C531" i="23"/>
  <c r="F530" i="23"/>
  <c r="E530" i="23"/>
  <c r="C530" i="23"/>
  <c r="E529" i="23"/>
  <c r="F529" i="23" s="1"/>
  <c r="C529" i="23"/>
  <c r="F528" i="23"/>
  <c r="E528" i="23"/>
  <c r="C528" i="23"/>
  <c r="E527" i="23"/>
  <c r="F527" i="23" s="1"/>
  <c r="C527" i="23"/>
  <c r="E526" i="23"/>
  <c r="F526" i="23" s="1"/>
  <c r="C526" i="23"/>
  <c r="E525" i="23"/>
  <c r="F525" i="23" s="1"/>
  <c r="C525" i="23"/>
  <c r="F524" i="23"/>
  <c r="E524" i="23"/>
  <c r="C524" i="23"/>
  <c r="F523" i="23"/>
  <c r="E523" i="23"/>
  <c r="C523" i="23"/>
  <c r="F522" i="23"/>
  <c r="E522" i="23"/>
  <c r="C522" i="23"/>
  <c r="E521" i="23"/>
  <c r="F521" i="23" s="1"/>
  <c r="C521" i="23"/>
  <c r="F520" i="23"/>
  <c r="E520" i="23"/>
  <c r="C520" i="23"/>
  <c r="E519" i="23"/>
  <c r="F519" i="23" s="1"/>
  <c r="C519" i="23"/>
  <c r="E518" i="23"/>
  <c r="F518" i="23" s="1"/>
  <c r="C518" i="23"/>
  <c r="E517" i="23"/>
  <c r="F517" i="23" s="1"/>
  <c r="C517" i="23"/>
  <c r="F516" i="23"/>
  <c r="E516" i="23"/>
  <c r="C516" i="23"/>
  <c r="F515" i="23"/>
  <c r="E515" i="23"/>
  <c r="C515" i="23"/>
  <c r="F514" i="23"/>
  <c r="E514" i="23"/>
  <c r="C514" i="23"/>
  <c r="E513" i="23"/>
  <c r="F513" i="23" s="1"/>
  <c r="C513" i="23"/>
  <c r="F512" i="23"/>
  <c r="E512" i="23"/>
  <c r="C512" i="23"/>
  <c r="E511" i="23"/>
  <c r="F511" i="23" s="1"/>
  <c r="C511" i="23"/>
  <c r="E510" i="23"/>
  <c r="F510" i="23" s="1"/>
  <c r="C510" i="23"/>
  <c r="E509" i="23"/>
  <c r="F509" i="23" s="1"/>
  <c r="C509" i="23"/>
  <c r="F508" i="23"/>
  <c r="E508" i="23"/>
  <c r="C508" i="23"/>
  <c r="F507" i="23"/>
  <c r="E507" i="23"/>
  <c r="C507" i="23"/>
  <c r="F506" i="23"/>
  <c r="E506" i="23"/>
  <c r="C506" i="23"/>
  <c r="E505" i="23"/>
  <c r="F505" i="23" s="1"/>
  <c r="C505" i="23"/>
  <c r="F504" i="23"/>
  <c r="E504" i="23"/>
  <c r="C504" i="23"/>
  <c r="E503" i="23"/>
  <c r="F503" i="23" s="1"/>
  <c r="C503" i="23"/>
  <c r="E502" i="23"/>
  <c r="F502" i="23" s="1"/>
  <c r="C502" i="23"/>
  <c r="E501" i="23"/>
  <c r="F501" i="23" s="1"/>
  <c r="C501" i="23"/>
  <c r="F500" i="23"/>
  <c r="E500" i="23"/>
  <c r="C500" i="23"/>
  <c r="F499" i="23"/>
  <c r="E499" i="23"/>
  <c r="C499" i="23"/>
  <c r="F498" i="23"/>
  <c r="E498" i="23"/>
  <c r="C498" i="23"/>
  <c r="E497" i="23"/>
  <c r="F497" i="23" s="1"/>
  <c r="C497" i="23"/>
  <c r="F496" i="23"/>
  <c r="E496" i="23"/>
  <c r="C496" i="23"/>
  <c r="E495" i="23"/>
  <c r="F495" i="23" s="1"/>
  <c r="C495" i="23"/>
  <c r="E494" i="23"/>
  <c r="F494" i="23" s="1"/>
  <c r="C494" i="23"/>
  <c r="E493" i="23"/>
  <c r="F493" i="23" s="1"/>
  <c r="C493" i="23"/>
  <c r="F492" i="23"/>
  <c r="E492" i="23"/>
  <c r="C492" i="23"/>
  <c r="F491" i="23"/>
  <c r="E491" i="23"/>
  <c r="C491" i="23"/>
  <c r="F490" i="23"/>
  <c r="E490" i="23"/>
  <c r="C490" i="23"/>
  <c r="E489" i="23"/>
  <c r="F489" i="23" s="1"/>
  <c r="C489" i="23"/>
  <c r="F488" i="23"/>
  <c r="E488" i="23"/>
  <c r="C488" i="23"/>
  <c r="E487" i="23"/>
  <c r="F487" i="23" s="1"/>
  <c r="C487" i="23"/>
  <c r="E486" i="23"/>
  <c r="F486" i="23" s="1"/>
  <c r="C486" i="23"/>
  <c r="E485" i="23"/>
  <c r="F485" i="23" s="1"/>
  <c r="C485" i="23"/>
  <c r="F484" i="23"/>
  <c r="E484" i="23"/>
  <c r="C484" i="23"/>
  <c r="F483" i="23"/>
  <c r="E483" i="23"/>
  <c r="C483" i="23"/>
  <c r="F482" i="23"/>
  <c r="E482" i="23"/>
  <c r="C482" i="23"/>
  <c r="E481" i="23"/>
  <c r="F481" i="23" s="1"/>
  <c r="C481" i="23"/>
  <c r="F480" i="23"/>
  <c r="E480" i="23"/>
  <c r="C480" i="23"/>
  <c r="E479" i="23"/>
  <c r="F479" i="23" s="1"/>
  <c r="C479" i="23"/>
  <c r="E478" i="23"/>
  <c r="F478" i="23" s="1"/>
  <c r="C478" i="23"/>
  <c r="E477" i="23"/>
  <c r="F477" i="23" s="1"/>
  <c r="C477" i="23"/>
  <c r="F476" i="23"/>
  <c r="E476" i="23"/>
  <c r="C476" i="23"/>
  <c r="F475" i="23"/>
  <c r="E475" i="23"/>
  <c r="C475" i="23"/>
  <c r="F474" i="23"/>
  <c r="E474" i="23"/>
  <c r="C474" i="23"/>
  <c r="E473" i="23"/>
  <c r="F473" i="23" s="1"/>
  <c r="C473" i="23"/>
  <c r="F472" i="23"/>
  <c r="E472" i="23"/>
  <c r="C472" i="23"/>
  <c r="E471" i="23"/>
  <c r="F471" i="23" s="1"/>
  <c r="C471" i="23"/>
  <c r="E470" i="23"/>
  <c r="F470" i="23" s="1"/>
  <c r="C470" i="23"/>
  <c r="E469" i="23"/>
  <c r="F469" i="23" s="1"/>
  <c r="C469" i="23"/>
  <c r="F468" i="23"/>
  <c r="E468" i="23"/>
  <c r="C468" i="23"/>
  <c r="F467" i="23"/>
  <c r="E467" i="23"/>
  <c r="C467" i="23"/>
  <c r="F466" i="23"/>
  <c r="E466" i="23"/>
  <c r="C466" i="23"/>
  <c r="E465" i="23"/>
  <c r="F465" i="23" s="1"/>
  <c r="C465" i="23"/>
  <c r="F464" i="23"/>
  <c r="E464" i="23"/>
  <c r="C464" i="23"/>
  <c r="E463" i="23"/>
  <c r="F463" i="23" s="1"/>
  <c r="C463" i="23"/>
  <c r="E462" i="23"/>
  <c r="F462" i="23" s="1"/>
  <c r="C462" i="23"/>
  <c r="E461" i="23"/>
  <c r="F461" i="23" s="1"/>
  <c r="C461" i="23"/>
  <c r="F460" i="23"/>
  <c r="E460" i="23"/>
  <c r="C460" i="23"/>
  <c r="F459" i="23"/>
  <c r="E459" i="23"/>
  <c r="C459" i="23"/>
  <c r="F458" i="23"/>
  <c r="E458" i="23"/>
  <c r="C458" i="23"/>
  <c r="E457" i="23"/>
  <c r="F457" i="23" s="1"/>
  <c r="C457" i="23"/>
  <c r="F456" i="23"/>
  <c r="E456" i="23"/>
  <c r="C456" i="23"/>
  <c r="E455" i="23"/>
  <c r="F455" i="23" s="1"/>
  <c r="C455" i="23"/>
  <c r="E454" i="23"/>
  <c r="F454" i="23" s="1"/>
  <c r="C454" i="23"/>
  <c r="E453" i="23"/>
  <c r="F453" i="23" s="1"/>
  <c r="C453" i="23"/>
  <c r="F452" i="23"/>
  <c r="E452" i="23"/>
  <c r="C452" i="23"/>
  <c r="F451" i="23"/>
  <c r="E451" i="23"/>
  <c r="C451" i="23"/>
  <c r="F450" i="23"/>
  <c r="E450" i="23"/>
  <c r="C450" i="23"/>
  <c r="E449" i="23"/>
  <c r="F449" i="23" s="1"/>
  <c r="C449" i="23"/>
  <c r="F448" i="23"/>
  <c r="E448" i="23"/>
  <c r="C448" i="23"/>
  <c r="E447" i="23"/>
  <c r="F447" i="23" s="1"/>
  <c r="C447" i="23"/>
  <c r="E446" i="23"/>
  <c r="F446" i="23" s="1"/>
  <c r="C446" i="23"/>
  <c r="E445" i="23"/>
  <c r="F445" i="23" s="1"/>
  <c r="C445" i="23"/>
  <c r="F444" i="23"/>
  <c r="E444" i="23"/>
  <c r="C444" i="23"/>
  <c r="F443" i="23"/>
  <c r="E443" i="23"/>
  <c r="C443" i="23"/>
  <c r="F442" i="23"/>
  <c r="E442" i="23"/>
  <c r="C442" i="23"/>
  <c r="E441" i="23"/>
  <c r="F441" i="23" s="1"/>
  <c r="C441" i="23"/>
  <c r="F440" i="23"/>
  <c r="E440" i="23"/>
  <c r="C440" i="23"/>
  <c r="E439" i="23"/>
  <c r="F439" i="23" s="1"/>
  <c r="C439" i="23"/>
  <c r="F438" i="23"/>
  <c r="E438" i="23"/>
  <c r="C438" i="23"/>
  <c r="E437" i="23"/>
  <c r="F437" i="23" s="1"/>
  <c r="C437" i="23"/>
  <c r="F436" i="23"/>
  <c r="E436" i="23"/>
  <c r="C436" i="23"/>
  <c r="F435" i="23"/>
  <c r="E435" i="23"/>
  <c r="C435" i="23"/>
  <c r="F434" i="23"/>
  <c r="E434" i="23"/>
  <c r="C434" i="23"/>
  <c r="E433" i="23"/>
  <c r="F433" i="23" s="1"/>
  <c r="C433" i="23"/>
  <c r="F432" i="23"/>
  <c r="E432" i="23"/>
  <c r="C432" i="23"/>
  <c r="E431" i="23"/>
  <c r="F431" i="23" s="1"/>
  <c r="C431" i="23"/>
  <c r="E430" i="23"/>
  <c r="F430" i="23" s="1"/>
  <c r="C430" i="23"/>
  <c r="E429" i="23"/>
  <c r="F429" i="23" s="1"/>
  <c r="C429" i="23"/>
  <c r="F428" i="23"/>
  <c r="E428" i="23"/>
  <c r="C428" i="23"/>
  <c r="F427" i="23"/>
  <c r="E427" i="23"/>
  <c r="C427" i="23"/>
  <c r="F426" i="23"/>
  <c r="E426" i="23"/>
  <c r="C426" i="23"/>
  <c r="E425" i="23"/>
  <c r="F425" i="23" s="1"/>
  <c r="C425" i="23"/>
  <c r="F424" i="23"/>
  <c r="E424" i="23"/>
  <c r="C424" i="23"/>
  <c r="E423" i="23"/>
  <c r="F423" i="23" s="1"/>
  <c r="C423" i="23"/>
  <c r="E422" i="23"/>
  <c r="F422" i="23" s="1"/>
  <c r="C422" i="23"/>
  <c r="E421" i="23"/>
  <c r="F421" i="23" s="1"/>
  <c r="C421" i="23"/>
  <c r="F420" i="23"/>
  <c r="E420" i="23"/>
  <c r="C420" i="23"/>
  <c r="F419" i="23"/>
  <c r="E419" i="23"/>
  <c r="C419" i="23"/>
  <c r="E418" i="23"/>
  <c r="F418" i="23" s="1"/>
  <c r="C418" i="23"/>
  <c r="E417" i="23"/>
  <c r="F417" i="23" s="1"/>
  <c r="C417" i="23"/>
  <c r="F416" i="23"/>
  <c r="E416" i="23"/>
  <c r="C416" i="23"/>
  <c r="E415" i="23"/>
  <c r="F415" i="23" s="1"/>
  <c r="C415" i="23"/>
  <c r="F414" i="23"/>
  <c r="E414" i="23"/>
  <c r="C414" i="23"/>
  <c r="E413" i="23"/>
  <c r="F413" i="23" s="1"/>
  <c r="C413" i="23"/>
  <c r="F412" i="23"/>
  <c r="E412" i="23"/>
  <c r="C412" i="23"/>
  <c r="F411" i="23"/>
  <c r="E411" i="23"/>
  <c r="C411" i="23"/>
  <c r="F410" i="23"/>
  <c r="E410" i="23"/>
  <c r="C410" i="23"/>
  <c r="E409" i="23"/>
  <c r="F409" i="23" s="1"/>
  <c r="C409" i="23"/>
  <c r="F408" i="23"/>
  <c r="E408" i="23"/>
  <c r="C408" i="23"/>
  <c r="F407" i="23"/>
  <c r="E407" i="23"/>
  <c r="C407" i="23"/>
  <c r="F406" i="23"/>
  <c r="E406" i="23"/>
  <c r="C406" i="23"/>
  <c r="E405" i="23"/>
  <c r="F405" i="23" s="1"/>
  <c r="C405" i="23"/>
  <c r="F404" i="23"/>
  <c r="E404" i="23"/>
  <c r="C404" i="23"/>
  <c r="F403" i="23"/>
  <c r="E403" i="23"/>
  <c r="C403" i="23"/>
  <c r="E402" i="23"/>
  <c r="F402" i="23" s="1"/>
  <c r="C402" i="23"/>
  <c r="E401" i="23"/>
  <c r="F401" i="23" s="1"/>
  <c r="C401" i="23"/>
  <c r="F400" i="23"/>
  <c r="E400" i="23"/>
  <c r="C400" i="23"/>
  <c r="E399" i="23"/>
  <c r="F399" i="23" s="1"/>
  <c r="C399" i="23"/>
  <c r="F398" i="23"/>
  <c r="E398" i="23"/>
  <c r="C398" i="23"/>
  <c r="E397" i="23"/>
  <c r="F397" i="23" s="1"/>
  <c r="C397" i="23"/>
  <c r="F396" i="23"/>
  <c r="E396" i="23"/>
  <c r="C396" i="23"/>
  <c r="F395" i="23"/>
  <c r="E395" i="23"/>
  <c r="C395" i="23"/>
  <c r="E394" i="23"/>
  <c r="F394" i="23" s="1"/>
  <c r="C394" i="23"/>
  <c r="E393" i="23"/>
  <c r="F393" i="23" s="1"/>
  <c r="C393" i="23"/>
  <c r="F392" i="23"/>
  <c r="E392" i="23"/>
  <c r="C392" i="23"/>
  <c r="E391" i="23"/>
  <c r="F391" i="23" s="1"/>
  <c r="C391" i="23"/>
  <c r="E390" i="23"/>
  <c r="F390" i="23" s="1"/>
  <c r="C390" i="23"/>
  <c r="E389" i="23"/>
  <c r="F389" i="23" s="1"/>
  <c r="C389" i="23"/>
  <c r="F388" i="23"/>
  <c r="E388" i="23"/>
  <c r="C388" i="23"/>
  <c r="F387" i="23"/>
  <c r="E387" i="23"/>
  <c r="C387" i="23"/>
  <c r="E386" i="23"/>
  <c r="F386" i="23" s="1"/>
  <c r="C386" i="23"/>
  <c r="E385" i="23"/>
  <c r="F385" i="23" s="1"/>
  <c r="C385" i="23"/>
  <c r="F384" i="23"/>
  <c r="E384" i="23"/>
  <c r="C384" i="23"/>
  <c r="E383" i="23"/>
  <c r="F383" i="23" s="1"/>
  <c r="C383" i="23"/>
  <c r="F382" i="23"/>
  <c r="E382" i="23"/>
  <c r="C382" i="23"/>
  <c r="E381" i="23"/>
  <c r="F381" i="23" s="1"/>
  <c r="C381" i="23"/>
  <c r="F380" i="23"/>
  <c r="E380" i="23"/>
  <c r="C380" i="23"/>
  <c r="F379" i="23"/>
  <c r="E379" i="23"/>
  <c r="C379" i="23"/>
  <c r="F378" i="23"/>
  <c r="E378" i="23"/>
  <c r="C378" i="23"/>
  <c r="E377" i="23"/>
  <c r="F377" i="23" s="1"/>
  <c r="C377" i="23"/>
  <c r="F376" i="23"/>
  <c r="E376" i="23"/>
  <c r="C376" i="23"/>
  <c r="F375" i="23"/>
  <c r="E375" i="23"/>
  <c r="C375" i="23"/>
  <c r="F374" i="23"/>
  <c r="E374" i="23"/>
  <c r="C374" i="23"/>
  <c r="E373" i="23"/>
  <c r="F373" i="23" s="1"/>
  <c r="C373" i="23"/>
  <c r="F372" i="23"/>
  <c r="E372" i="23"/>
  <c r="C372" i="23"/>
  <c r="F371" i="23"/>
  <c r="E371" i="23"/>
  <c r="C371" i="23"/>
  <c r="E370" i="23"/>
  <c r="F370" i="23" s="1"/>
  <c r="C370" i="23"/>
  <c r="E369" i="23"/>
  <c r="F369" i="23" s="1"/>
  <c r="C369" i="23"/>
  <c r="F368" i="23"/>
  <c r="E368" i="23"/>
  <c r="C368" i="23"/>
  <c r="E367" i="23"/>
  <c r="F367" i="23" s="1"/>
  <c r="C367" i="23"/>
  <c r="F366" i="23"/>
  <c r="E366" i="23"/>
  <c r="C366" i="23"/>
  <c r="E365" i="23"/>
  <c r="F365" i="23" s="1"/>
  <c r="C365" i="23"/>
  <c r="F364" i="23"/>
  <c r="E364" i="23"/>
  <c r="C364" i="23"/>
  <c r="F363" i="23"/>
  <c r="E363" i="23"/>
  <c r="C363" i="23"/>
  <c r="E362" i="23"/>
  <c r="F362" i="23" s="1"/>
  <c r="C362" i="23"/>
  <c r="E361" i="23"/>
  <c r="F361" i="23" s="1"/>
  <c r="C361" i="23"/>
  <c r="F360" i="23"/>
  <c r="E360" i="23"/>
  <c r="C360" i="23"/>
  <c r="E359" i="23"/>
  <c r="F359" i="23" s="1"/>
  <c r="C359" i="23"/>
  <c r="E358" i="23"/>
  <c r="F358" i="23" s="1"/>
  <c r="C358" i="23"/>
  <c r="E357" i="23"/>
  <c r="F357" i="23" s="1"/>
  <c r="C357" i="23"/>
  <c r="F356" i="23"/>
  <c r="E356" i="23"/>
  <c r="C356" i="23"/>
  <c r="E355" i="23"/>
  <c r="F355" i="23" s="1"/>
  <c r="C355" i="23"/>
  <c r="E354" i="23"/>
  <c r="F354" i="23" s="1"/>
  <c r="C354" i="23"/>
  <c r="E353" i="23"/>
  <c r="F353" i="23" s="1"/>
  <c r="C353" i="23"/>
  <c r="F352" i="23"/>
  <c r="E352" i="23"/>
  <c r="C352" i="23"/>
  <c r="E351" i="23"/>
  <c r="F351" i="23" s="1"/>
  <c r="C351" i="23"/>
  <c r="F350" i="23"/>
  <c r="E350" i="23"/>
  <c r="C350" i="23"/>
  <c r="E349" i="23"/>
  <c r="F349" i="23" s="1"/>
  <c r="C349" i="23"/>
  <c r="F348" i="23"/>
  <c r="E348" i="23"/>
  <c r="C348" i="23"/>
  <c r="F347" i="23"/>
  <c r="E347" i="23"/>
  <c r="C347" i="23"/>
  <c r="F346" i="23"/>
  <c r="E346" i="23"/>
  <c r="C346" i="23"/>
  <c r="E345" i="23"/>
  <c r="F345" i="23" s="1"/>
  <c r="C345" i="23"/>
  <c r="F344" i="23"/>
  <c r="E344" i="23"/>
  <c r="C344" i="23"/>
  <c r="F343" i="23"/>
  <c r="E343" i="23"/>
  <c r="C343" i="23"/>
  <c r="F342" i="23"/>
  <c r="E342" i="23"/>
  <c r="C342" i="23"/>
  <c r="E341" i="23"/>
  <c r="F341" i="23" s="1"/>
  <c r="C341" i="23"/>
  <c r="F340" i="23"/>
  <c r="E340" i="23"/>
  <c r="C340" i="23"/>
  <c r="F339" i="23"/>
  <c r="E339" i="23"/>
  <c r="C339" i="23"/>
  <c r="E338" i="23"/>
  <c r="F338" i="23" s="1"/>
  <c r="C338" i="23"/>
  <c r="E337" i="23"/>
  <c r="F337" i="23" s="1"/>
  <c r="C337" i="23"/>
  <c r="F336" i="23"/>
  <c r="E336" i="23"/>
  <c r="C336" i="23"/>
  <c r="E335" i="23"/>
  <c r="F335" i="23" s="1"/>
  <c r="C335" i="23"/>
  <c r="F334" i="23"/>
  <c r="E334" i="23"/>
  <c r="C334" i="23"/>
  <c r="E333" i="23"/>
  <c r="F333" i="23" s="1"/>
  <c r="C333" i="23"/>
  <c r="F332" i="23"/>
  <c r="E332" i="23"/>
  <c r="C332" i="23"/>
  <c r="F331" i="23"/>
  <c r="E331" i="23"/>
  <c r="C331" i="23"/>
  <c r="E330" i="23"/>
  <c r="F330" i="23" s="1"/>
  <c r="C330" i="23"/>
  <c r="E329" i="23"/>
  <c r="F329" i="23" s="1"/>
  <c r="C329" i="23"/>
  <c r="F328" i="23"/>
  <c r="E328" i="23"/>
  <c r="C328" i="23"/>
  <c r="E327" i="23"/>
  <c r="F327" i="23" s="1"/>
  <c r="C327" i="23"/>
  <c r="E326" i="23"/>
  <c r="F326" i="23" s="1"/>
  <c r="C326" i="23"/>
  <c r="E325" i="23"/>
  <c r="F325" i="23" s="1"/>
  <c r="C325" i="23"/>
  <c r="F324" i="23"/>
  <c r="E324" i="23"/>
  <c r="C324" i="23"/>
  <c r="E323" i="23"/>
  <c r="F323" i="23" s="1"/>
  <c r="C323" i="23"/>
  <c r="E322" i="23"/>
  <c r="F322" i="23" s="1"/>
  <c r="C322" i="23"/>
  <c r="F321" i="23"/>
  <c r="E321" i="23"/>
  <c r="C321" i="23"/>
  <c r="F320" i="23"/>
  <c r="E320" i="23"/>
  <c r="C320" i="23"/>
  <c r="F319" i="23"/>
  <c r="E319" i="23"/>
  <c r="C319" i="23"/>
  <c r="E318" i="23"/>
  <c r="F318" i="23" s="1"/>
  <c r="C318" i="23"/>
  <c r="F317" i="23"/>
  <c r="E317" i="23"/>
  <c r="C317" i="23"/>
  <c r="E316" i="23"/>
  <c r="F316" i="23" s="1"/>
  <c r="C316" i="23"/>
  <c r="E315" i="23"/>
  <c r="F315" i="23" s="1"/>
  <c r="C315" i="23"/>
  <c r="E314" i="23"/>
  <c r="F314" i="23" s="1"/>
  <c r="C314" i="23"/>
  <c r="F313" i="23"/>
  <c r="E313" i="23"/>
  <c r="C313" i="23"/>
  <c r="F312" i="23"/>
  <c r="E312" i="23"/>
  <c r="C312" i="23"/>
  <c r="F311" i="23"/>
  <c r="E311" i="23"/>
  <c r="C311" i="23"/>
  <c r="E310" i="23"/>
  <c r="F310" i="23" s="1"/>
  <c r="C310" i="23"/>
  <c r="F309" i="23"/>
  <c r="E309" i="23"/>
  <c r="C309" i="23"/>
  <c r="E308" i="23"/>
  <c r="F308" i="23" s="1"/>
  <c r="C308" i="23"/>
  <c r="E307" i="23"/>
  <c r="F307" i="23" s="1"/>
  <c r="C307" i="23"/>
  <c r="E306" i="23"/>
  <c r="F306" i="23" s="1"/>
  <c r="C306" i="23"/>
  <c r="F305" i="23"/>
  <c r="E305" i="23"/>
  <c r="C305" i="23"/>
  <c r="F304" i="23"/>
  <c r="E304" i="23"/>
  <c r="C304" i="23"/>
  <c r="F303" i="23"/>
  <c r="E303" i="23"/>
  <c r="C303" i="23"/>
  <c r="E302" i="23"/>
  <c r="F302" i="23" s="1"/>
  <c r="C302" i="23"/>
  <c r="F301" i="23"/>
  <c r="E301" i="23"/>
  <c r="C301" i="23"/>
  <c r="E300" i="23"/>
  <c r="F300" i="23" s="1"/>
  <c r="C300" i="23"/>
  <c r="E299" i="23"/>
  <c r="F299" i="23" s="1"/>
  <c r="C299" i="23"/>
  <c r="E298" i="23"/>
  <c r="F298" i="23" s="1"/>
  <c r="C298" i="23"/>
  <c r="F297" i="23"/>
  <c r="E297" i="23"/>
  <c r="C297" i="23"/>
  <c r="F296" i="23"/>
  <c r="E296" i="23"/>
  <c r="C296" i="23"/>
  <c r="F295" i="23"/>
  <c r="E295" i="23"/>
  <c r="C295" i="23"/>
  <c r="E294" i="23"/>
  <c r="F294" i="23" s="1"/>
  <c r="C294" i="23"/>
  <c r="F293" i="23"/>
  <c r="E293" i="23"/>
  <c r="C293" i="23"/>
  <c r="E292" i="23"/>
  <c r="F292" i="23" s="1"/>
  <c r="C292" i="23"/>
  <c r="E291" i="23"/>
  <c r="F291" i="23" s="1"/>
  <c r="C291" i="23"/>
  <c r="E290" i="23"/>
  <c r="F290" i="23" s="1"/>
  <c r="C290" i="23"/>
  <c r="F289" i="23"/>
  <c r="E289" i="23"/>
  <c r="C289" i="23"/>
  <c r="F288" i="23"/>
  <c r="E288" i="23"/>
  <c r="C288" i="23"/>
  <c r="F287" i="23"/>
  <c r="E287" i="23"/>
  <c r="C287" i="23"/>
  <c r="E286" i="23"/>
  <c r="F286" i="23" s="1"/>
  <c r="C286" i="23"/>
  <c r="F285" i="23"/>
  <c r="E285" i="23"/>
  <c r="C285" i="23"/>
  <c r="E284" i="23"/>
  <c r="F284" i="23" s="1"/>
  <c r="C284" i="23"/>
  <c r="E283" i="23"/>
  <c r="F283" i="23" s="1"/>
  <c r="C283" i="23"/>
  <c r="E282" i="23"/>
  <c r="F282" i="23" s="1"/>
  <c r="C282" i="23"/>
  <c r="F281" i="23"/>
  <c r="E281" i="23"/>
  <c r="C281" i="23"/>
  <c r="F280" i="23"/>
  <c r="E280" i="23"/>
  <c r="C280" i="23"/>
  <c r="F279" i="23"/>
  <c r="E279" i="23"/>
  <c r="C279" i="23"/>
  <c r="E278" i="23"/>
  <c r="F278" i="23" s="1"/>
  <c r="C278" i="23"/>
  <c r="F277" i="23"/>
  <c r="E277" i="23"/>
  <c r="C277" i="23"/>
  <c r="E276" i="23"/>
  <c r="F276" i="23" s="1"/>
  <c r="C276" i="23"/>
  <c r="E275" i="23"/>
  <c r="F275" i="23" s="1"/>
  <c r="C275" i="23"/>
  <c r="E274" i="23"/>
  <c r="F274" i="23" s="1"/>
  <c r="C274" i="23"/>
  <c r="F273" i="23"/>
  <c r="E273" i="23"/>
  <c r="C273" i="23"/>
  <c r="F272" i="23"/>
  <c r="E272" i="23"/>
  <c r="C272" i="23"/>
  <c r="F271" i="23"/>
  <c r="E271" i="23"/>
  <c r="C271" i="23"/>
  <c r="E270" i="23"/>
  <c r="F270" i="23" s="1"/>
  <c r="C270" i="23"/>
  <c r="F269" i="23"/>
  <c r="E269" i="23"/>
  <c r="C269" i="23"/>
  <c r="E268" i="23"/>
  <c r="F268" i="23" s="1"/>
  <c r="C268" i="23"/>
  <c r="E267" i="23"/>
  <c r="F267" i="23" s="1"/>
  <c r="C267" i="23"/>
  <c r="E266" i="23"/>
  <c r="F266" i="23" s="1"/>
  <c r="C266" i="23"/>
  <c r="F265" i="23"/>
  <c r="E265" i="23"/>
  <c r="C265" i="23"/>
  <c r="F264" i="23"/>
  <c r="E264" i="23"/>
  <c r="C264" i="23"/>
  <c r="F263" i="23"/>
  <c r="E263" i="23"/>
  <c r="C263" i="23"/>
  <c r="E262" i="23"/>
  <c r="F262" i="23" s="1"/>
  <c r="C262" i="23"/>
  <c r="F261" i="23"/>
  <c r="E261" i="23"/>
  <c r="C261" i="23"/>
  <c r="E260" i="23"/>
  <c r="F260" i="23" s="1"/>
  <c r="C260" i="23"/>
  <c r="E259" i="23"/>
  <c r="F259" i="23" s="1"/>
  <c r="C259" i="23"/>
  <c r="E258" i="23"/>
  <c r="F258" i="23" s="1"/>
  <c r="C258" i="23"/>
  <c r="F257" i="23"/>
  <c r="E257" i="23"/>
  <c r="C257" i="23"/>
  <c r="F256" i="23"/>
  <c r="E256" i="23"/>
  <c r="C256" i="23"/>
  <c r="F255" i="23"/>
  <c r="E255" i="23"/>
  <c r="C255" i="23"/>
  <c r="E254" i="23"/>
  <c r="F254" i="23" s="1"/>
  <c r="C254" i="23"/>
  <c r="F253" i="23"/>
  <c r="E253" i="23"/>
  <c r="C253" i="23"/>
  <c r="E252" i="23"/>
  <c r="F252" i="23" s="1"/>
  <c r="C252" i="23"/>
  <c r="E251" i="23"/>
  <c r="F251" i="23" s="1"/>
  <c r="C251" i="23"/>
  <c r="E250" i="23"/>
  <c r="F250" i="23" s="1"/>
  <c r="C250" i="23"/>
  <c r="F249" i="23"/>
  <c r="E249" i="23"/>
  <c r="C249" i="23"/>
  <c r="F248" i="23"/>
  <c r="E248" i="23"/>
  <c r="C248" i="23"/>
  <c r="F247" i="23"/>
  <c r="E247" i="23"/>
  <c r="C247" i="23"/>
  <c r="E246" i="23"/>
  <c r="F246" i="23" s="1"/>
  <c r="C246" i="23"/>
  <c r="F245" i="23"/>
  <c r="E245" i="23"/>
  <c r="C245" i="23"/>
  <c r="E244" i="23"/>
  <c r="F244" i="23" s="1"/>
  <c r="C244" i="23"/>
  <c r="E243" i="23"/>
  <c r="F243" i="23" s="1"/>
  <c r="C243" i="23"/>
  <c r="E242" i="23"/>
  <c r="F242" i="23" s="1"/>
  <c r="C242" i="23"/>
  <c r="F241" i="23"/>
  <c r="E241" i="23"/>
  <c r="C241" i="23"/>
  <c r="F240" i="23"/>
  <c r="E240" i="23"/>
  <c r="C240" i="23"/>
  <c r="F239" i="23"/>
  <c r="E239" i="23"/>
  <c r="C239" i="23"/>
  <c r="E238" i="23"/>
  <c r="F238" i="23" s="1"/>
  <c r="C238" i="23"/>
  <c r="F237" i="23"/>
  <c r="E237" i="23"/>
  <c r="C237" i="23"/>
  <c r="E236" i="23"/>
  <c r="F236" i="23" s="1"/>
  <c r="C236" i="23"/>
  <c r="E235" i="23"/>
  <c r="F235" i="23" s="1"/>
  <c r="C235" i="23"/>
  <c r="E234" i="23"/>
  <c r="F234" i="23" s="1"/>
  <c r="C234" i="23"/>
  <c r="F233" i="23"/>
  <c r="E233" i="23"/>
  <c r="C233" i="23"/>
  <c r="F232" i="23"/>
  <c r="E232" i="23"/>
  <c r="C232" i="23"/>
  <c r="F231" i="23"/>
  <c r="E231" i="23"/>
  <c r="C231" i="23"/>
  <c r="E230" i="23"/>
  <c r="F230" i="23" s="1"/>
  <c r="C230" i="23"/>
  <c r="F229" i="23"/>
  <c r="E229" i="23"/>
  <c r="C229" i="23"/>
  <c r="E228" i="23"/>
  <c r="F228" i="23" s="1"/>
  <c r="C228" i="23"/>
  <c r="E227" i="23"/>
  <c r="F227" i="23" s="1"/>
  <c r="C227" i="23"/>
  <c r="E226" i="23"/>
  <c r="F226" i="23" s="1"/>
  <c r="C226" i="23"/>
  <c r="F225" i="23"/>
  <c r="E225" i="23"/>
  <c r="C225" i="23"/>
  <c r="F224" i="23"/>
  <c r="E224" i="23"/>
  <c r="C224" i="23"/>
  <c r="F223" i="23"/>
  <c r="E223" i="23"/>
  <c r="C223" i="23"/>
  <c r="E222" i="23"/>
  <c r="F222" i="23" s="1"/>
  <c r="C222" i="23"/>
  <c r="F221" i="23"/>
  <c r="E221" i="23"/>
  <c r="C221" i="23"/>
  <c r="E220" i="23"/>
  <c r="F220" i="23" s="1"/>
  <c r="C220" i="23"/>
  <c r="E219" i="23"/>
  <c r="F219" i="23" s="1"/>
  <c r="C219" i="23"/>
  <c r="E218" i="23"/>
  <c r="F218" i="23" s="1"/>
  <c r="C218" i="23"/>
  <c r="F217" i="23"/>
  <c r="E217" i="23"/>
  <c r="C217" i="23"/>
  <c r="F216" i="23"/>
  <c r="E216" i="23"/>
  <c r="C216" i="23"/>
  <c r="F215" i="23"/>
  <c r="E215" i="23"/>
  <c r="C215" i="23"/>
  <c r="E214" i="23"/>
  <c r="F214" i="23" s="1"/>
  <c r="C214" i="23"/>
  <c r="F213" i="23"/>
  <c r="E213" i="23"/>
  <c r="C213" i="23"/>
  <c r="E212" i="23"/>
  <c r="F212" i="23" s="1"/>
  <c r="C212" i="23"/>
  <c r="E211" i="23"/>
  <c r="F211" i="23" s="1"/>
  <c r="C211" i="23"/>
  <c r="E210" i="23"/>
  <c r="F210" i="23" s="1"/>
  <c r="C210" i="23"/>
  <c r="F209" i="23"/>
  <c r="E209" i="23"/>
  <c r="C209" i="23"/>
  <c r="F208" i="23"/>
  <c r="E208" i="23"/>
  <c r="C208" i="23"/>
  <c r="F207" i="23"/>
  <c r="E207" i="23"/>
  <c r="C207" i="23"/>
  <c r="E206" i="23"/>
  <c r="F206" i="23" s="1"/>
  <c r="C206" i="23"/>
  <c r="F205" i="23"/>
  <c r="E205" i="23"/>
  <c r="C205" i="23"/>
  <c r="E204" i="23"/>
  <c r="F204" i="23" s="1"/>
  <c r="C204" i="23"/>
  <c r="E203" i="23"/>
  <c r="F203" i="23" s="1"/>
  <c r="C203" i="23"/>
  <c r="E202" i="23"/>
  <c r="F202" i="23" s="1"/>
  <c r="C202" i="23"/>
  <c r="F201" i="23"/>
  <c r="E201" i="23"/>
  <c r="C201" i="23"/>
  <c r="F200" i="23"/>
  <c r="E200" i="23"/>
  <c r="C200" i="23"/>
  <c r="F199" i="23"/>
  <c r="E199" i="23"/>
  <c r="C199" i="23"/>
  <c r="E198" i="23"/>
  <c r="F198" i="23" s="1"/>
  <c r="C198" i="23"/>
  <c r="F197" i="23"/>
  <c r="E197" i="23"/>
  <c r="C197" i="23"/>
  <c r="E196" i="23"/>
  <c r="F196" i="23" s="1"/>
  <c r="C196" i="23"/>
  <c r="E195" i="23"/>
  <c r="F195" i="23" s="1"/>
  <c r="C195" i="23"/>
  <c r="E194" i="23"/>
  <c r="F194" i="23" s="1"/>
  <c r="C194" i="23"/>
  <c r="F193" i="23"/>
  <c r="E193" i="23"/>
  <c r="C193" i="23"/>
  <c r="F192" i="23"/>
  <c r="E192" i="23"/>
  <c r="C192" i="23"/>
  <c r="F191" i="23"/>
  <c r="E191" i="23"/>
  <c r="C191" i="23"/>
  <c r="E190" i="23"/>
  <c r="F190" i="23" s="1"/>
  <c r="C190" i="23"/>
  <c r="F189" i="23"/>
  <c r="E189" i="23"/>
  <c r="C189" i="23"/>
  <c r="E188" i="23"/>
  <c r="F188" i="23" s="1"/>
  <c r="C188" i="23"/>
  <c r="E187" i="23"/>
  <c r="F187" i="23" s="1"/>
  <c r="C187" i="23"/>
  <c r="E186" i="23"/>
  <c r="F186" i="23" s="1"/>
  <c r="C186" i="23"/>
  <c r="F185" i="23"/>
  <c r="E185" i="23"/>
  <c r="C185" i="23"/>
  <c r="F184" i="23"/>
  <c r="E184" i="23"/>
  <c r="C184" i="23"/>
  <c r="F183" i="23"/>
  <c r="E183" i="23"/>
  <c r="C183" i="23"/>
  <c r="E182" i="23"/>
  <c r="F182" i="23" s="1"/>
  <c r="C182" i="23"/>
  <c r="F181" i="23"/>
  <c r="E181" i="23"/>
  <c r="C181" i="23"/>
  <c r="E180" i="23"/>
  <c r="F180" i="23" s="1"/>
  <c r="C180" i="23"/>
  <c r="E179" i="23"/>
  <c r="F179" i="23" s="1"/>
  <c r="C179" i="23"/>
  <c r="E178" i="23"/>
  <c r="F178" i="23" s="1"/>
  <c r="C178" i="23"/>
  <c r="F177" i="23"/>
  <c r="E177" i="23"/>
  <c r="C177" i="23"/>
  <c r="F176" i="23"/>
  <c r="E176" i="23"/>
  <c r="C176" i="23"/>
  <c r="F175" i="23"/>
  <c r="E175" i="23"/>
  <c r="C175" i="23"/>
  <c r="E174" i="23"/>
  <c r="F174" i="23" s="1"/>
  <c r="C174" i="23"/>
  <c r="F173" i="23"/>
  <c r="E173" i="23"/>
  <c r="C173" i="23"/>
  <c r="E172" i="23"/>
  <c r="F172" i="23" s="1"/>
  <c r="C172" i="23"/>
  <c r="E171" i="23"/>
  <c r="F171" i="23" s="1"/>
  <c r="C171" i="23"/>
  <c r="E170" i="23"/>
  <c r="F170" i="23" s="1"/>
  <c r="C170" i="23"/>
  <c r="F169" i="23"/>
  <c r="E169" i="23"/>
  <c r="C169" i="23"/>
  <c r="F168" i="23"/>
  <c r="E168" i="23"/>
  <c r="C168" i="23"/>
  <c r="F167" i="23"/>
  <c r="E167" i="23"/>
  <c r="C167" i="23"/>
  <c r="E166" i="23"/>
  <c r="F166" i="23" s="1"/>
  <c r="C166" i="23"/>
  <c r="F165" i="23"/>
  <c r="E165" i="23"/>
  <c r="C165" i="23"/>
  <c r="E164" i="23"/>
  <c r="F164" i="23" s="1"/>
  <c r="C164" i="23"/>
  <c r="E163" i="23"/>
  <c r="F163" i="23" s="1"/>
  <c r="C163" i="23"/>
  <c r="E162" i="23"/>
  <c r="F162" i="23" s="1"/>
  <c r="C162" i="23"/>
  <c r="F161" i="23"/>
  <c r="E161" i="23"/>
  <c r="C161" i="23"/>
  <c r="F160" i="23"/>
  <c r="E160" i="23"/>
  <c r="C160" i="23"/>
  <c r="F159" i="23"/>
  <c r="E159" i="23"/>
  <c r="C159" i="23"/>
  <c r="E158" i="23"/>
  <c r="F158" i="23" s="1"/>
  <c r="C158" i="23"/>
  <c r="F157" i="23"/>
  <c r="E157" i="23"/>
  <c r="C157" i="23"/>
  <c r="E156" i="23"/>
  <c r="F156" i="23" s="1"/>
  <c r="C156" i="23"/>
  <c r="E155" i="23"/>
  <c r="F155" i="23" s="1"/>
  <c r="C155" i="23"/>
  <c r="E154" i="23"/>
  <c r="F154" i="23" s="1"/>
  <c r="C154" i="23"/>
  <c r="F153" i="23"/>
  <c r="E153" i="23"/>
  <c r="C153" i="23"/>
  <c r="F152" i="23"/>
  <c r="E152" i="23"/>
  <c r="C152" i="23"/>
  <c r="F151" i="23"/>
  <c r="E151" i="23"/>
  <c r="C151" i="23"/>
  <c r="E150" i="23"/>
  <c r="F150" i="23" s="1"/>
  <c r="C150" i="23"/>
  <c r="F149" i="23"/>
  <c r="E149" i="23"/>
  <c r="C149" i="23"/>
  <c r="E148" i="23"/>
  <c r="F148" i="23" s="1"/>
  <c r="C148" i="23"/>
  <c r="E147" i="23"/>
  <c r="F147" i="23" s="1"/>
  <c r="C147" i="23"/>
  <c r="E146" i="23"/>
  <c r="F146" i="23" s="1"/>
  <c r="C146" i="23"/>
  <c r="F145" i="23"/>
  <c r="E145" i="23"/>
  <c r="C145" i="23"/>
  <c r="F144" i="23"/>
  <c r="E144" i="23"/>
  <c r="C144" i="23"/>
  <c r="F143" i="23"/>
  <c r="E143" i="23"/>
  <c r="C143" i="23"/>
  <c r="E142" i="23"/>
  <c r="F142" i="23" s="1"/>
  <c r="C142" i="23"/>
  <c r="F141" i="23"/>
  <c r="E141" i="23"/>
  <c r="C141" i="23"/>
  <c r="E140" i="23"/>
  <c r="F140" i="23" s="1"/>
  <c r="C140" i="23"/>
  <c r="E139" i="23"/>
  <c r="F139" i="23" s="1"/>
  <c r="C139" i="23"/>
  <c r="E138" i="23"/>
  <c r="F138" i="23" s="1"/>
  <c r="C138" i="23"/>
  <c r="F137" i="23"/>
  <c r="E137" i="23"/>
  <c r="C137" i="23"/>
  <c r="F136" i="23"/>
  <c r="E136" i="23"/>
  <c r="C136" i="23"/>
  <c r="F135" i="23"/>
  <c r="E135" i="23"/>
  <c r="C135" i="23"/>
  <c r="E134" i="23"/>
  <c r="F134" i="23" s="1"/>
  <c r="C134" i="23"/>
  <c r="F133" i="23"/>
  <c r="E133" i="23"/>
  <c r="C133" i="23"/>
  <c r="E132" i="23"/>
  <c r="F132" i="23" s="1"/>
  <c r="C132" i="23"/>
  <c r="E131" i="23"/>
  <c r="F131" i="23" s="1"/>
  <c r="C131" i="23"/>
  <c r="E130" i="23"/>
  <c r="F130" i="23" s="1"/>
  <c r="C130" i="23"/>
  <c r="F129" i="23"/>
  <c r="E129" i="23"/>
  <c r="C129" i="23"/>
  <c r="F128" i="23"/>
  <c r="E128" i="23"/>
  <c r="C128" i="23"/>
  <c r="F127" i="23"/>
  <c r="E127" i="23"/>
  <c r="C127" i="23"/>
  <c r="E126" i="23"/>
  <c r="F126" i="23" s="1"/>
  <c r="C126" i="23"/>
  <c r="F125" i="23"/>
  <c r="E125" i="23"/>
  <c r="C125" i="23"/>
  <c r="E124" i="23"/>
  <c r="F124" i="23" s="1"/>
  <c r="C124" i="23"/>
  <c r="E123" i="23"/>
  <c r="F123" i="23" s="1"/>
  <c r="C123" i="23"/>
  <c r="E122" i="23"/>
  <c r="F122" i="23" s="1"/>
  <c r="C122" i="23"/>
  <c r="F121" i="23"/>
  <c r="E121" i="23"/>
  <c r="C121" i="23"/>
  <c r="F120" i="23"/>
  <c r="E120" i="23"/>
  <c r="C120" i="23"/>
  <c r="F119" i="23"/>
  <c r="E119" i="23"/>
  <c r="C119" i="23"/>
  <c r="E118" i="23"/>
  <c r="F118" i="23" s="1"/>
  <c r="C118" i="23"/>
  <c r="F117" i="23"/>
  <c r="E117" i="23"/>
  <c r="C117" i="23"/>
  <c r="E116" i="23"/>
  <c r="F116" i="23" s="1"/>
  <c r="C116" i="23"/>
  <c r="E115" i="23"/>
  <c r="F115" i="23" s="1"/>
  <c r="C115" i="23"/>
  <c r="E114" i="23"/>
  <c r="F114" i="23" s="1"/>
  <c r="C114" i="23"/>
  <c r="F113" i="23"/>
  <c r="E113" i="23"/>
  <c r="C113" i="23"/>
  <c r="F112" i="23"/>
  <c r="E112" i="23"/>
  <c r="C112" i="23"/>
  <c r="F111" i="23"/>
  <c r="E111" i="23"/>
  <c r="C111" i="23"/>
  <c r="E110" i="23"/>
  <c r="F110" i="23" s="1"/>
  <c r="C110" i="23"/>
  <c r="F109" i="23"/>
  <c r="E109" i="23"/>
  <c r="C109" i="23"/>
  <c r="E108" i="23"/>
  <c r="F108" i="23" s="1"/>
  <c r="C108" i="23"/>
  <c r="E107" i="23"/>
  <c r="F107" i="23" s="1"/>
  <c r="C107" i="23"/>
  <c r="E106" i="23"/>
  <c r="F106" i="23" s="1"/>
  <c r="C106" i="23"/>
  <c r="F105" i="23"/>
  <c r="E105" i="23"/>
  <c r="C105" i="23"/>
  <c r="F104" i="23"/>
  <c r="E104" i="23"/>
  <c r="C104" i="23"/>
  <c r="F103" i="23"/>
  <c r="E103" i="23"/>
  <c r="C103" i="23"/>
  <c r="E102" i="23"/>
  <c r="F102" i="23" s="1"/>
  <c r="C102" i="23"/>
  <c r="F101" i="23"/>
  <c r="E101" i="23"/>
  <c r="C101" i="23"/>
  <c r="E100" i="23"/>
  <c r="F100" i="23" s="1"/>
  <c r="C100" i="23"/>
  <c r="E99" i="23"/>
  <c r="F99" i="23" s="1"/>
  <c r="C99" i="23"/>
  <c r="E98" i="23"/>
  <c r="F98" i="23" s="1"/>
  <c r="C98" i="23"/>
  <c r="F97" i="23"/>
  <c r="E97" i="23"/>
  <c r="C97" i="23"/>
  <c r="F96" i="23"/>
  <c r="E96" i="23"/>
  <c r="C96" i="23"/>
  <c r="F95" i="23"/>
  <c r="E95" i="23"/>
  <c r="C95" i="23"/>
  <c r="E94" i="23"/>
  <c r="F94" i="23" s="1"/>
  <c r="C94" i="23"/>
  <c r="F93" i="23"/>
  <c r="E93" i="23"/>
  <c r="C93" i="23"/>
  <c r="E92" i="23"/>
  <c r="F92" i="23" s="1"/>
  <c r="C92" i="23"/>
  <c r="E91" i="23"/>
  <c r="F91" i="23" s="1"/>
  <c r="C91" i="23"/>
  <c r="E90" i="23"/>
  <c r="F90" i="23" s="1"/>
  <c r="C90" i="23"/>
  <c r="F89" i="23"/>
  <c r="E89" i="23"/>
  <c r="C89" i="23"/>
  <c r="F88" i="23"/>
  <c r="E88" i="23"/>
  <c r="C88" i="23"/>
  <c r="F87" i="23"/>
  <c r="E87" i="23"/>
  <c r="C87" i="23"/>
  <c r="E86" i="23"/>
  <c r="F86" i="23" s="1"/>
  <c r="C86" i="23"/>
  <c r="F85" i="23"/>
  <c r="E85" i="23"/>
  <c r="C85" i="23"/>
  <c r="E84" i="23"/>
  <c r="F84" i="23" s="1"/>
  <c r="C84" i="23"/>
  <c r="E83" i="23"/>
  <c r="F83" i="23" s="1"/>
  <c r="C83" i="23"/>
  <c r="E82" i="23"/>
  <c r="F82" i="23" s="1"/>
  <c r="C82" i="23"/>
  <c r="F81" i="23"/>
  <c r="E81" i="23"/>
  <c r="C81" i="23"/>
  <c r="F80" i="23"/>
  <c r="E80" i="23"/>
  <c r="C80" i="23"/>
  <c r="F79" i="23"/>
  <c r="E79" i="23"/>
  <c r="C79" i="23"/>
  <c r="E78" i="23"/>
  <c r="F78" i="23" s="1"/>
  <c r="C78" i="23"/>
  <c r="F77" i="23"/>
  <c r="E77" i="23"/>
  <c r="C77" i="23"/>
  <c r="E76" i="23"/>
  <c r="F76" i="23" s="1"/>
  <c r="C76" i="23"/>
  <c r="E75" i="23"/>
  <c r="F75" i="23" s="1"/>
  <c r="C75" i="23"/>
  <c r="E74" i="23"/>
  <c r="F74" i="23" s="1"/>
  <c r="C74" i="23"/>
  <c r="F73" i="23"/>
  <c r="E73" i="23"/>
  <c r="C73" i="23"/>
  <c r="F72" i="23"/>
  <c r="E72" i="23"/>
  <c r="C72" i="23"/>
  <c r="F71" i="23"/>
  <c r="E71" i="23"/>
  <c r="C71" i="23"/>
  <c r="E70" i="23"/>
  <c r="F70" i="23" s="1"/>
  <c r="C70" i="23"/>
  <c r="F69" i="23"/>
  <c r="E69" i="23"/>
  <c r="C69" i="23"/>
  <c r="E68" i="23"/>
  <c r="F68" i="23" s="1"/>
  <c r="C68" i="23"/>
  <c r="E67" i="23"/>
  <c r="F67" i="23" s="1"/>
  <c r="C67" i="23"/>
  <c r="E66" i="23"/>
  <c r="F66" i="23" s="1"/>
  <c r="C66" i="23"/>
  <c r="F65" i="23"/>
  <c r="E65" i="23"/>
  <c r="C65" i="23"/>
  <c r="E64" i="23"/>
  <c r="F64" i="23" s="1"/>
  <c r="C64" i="23"/>
  <c r="F63" i="23"/>
  <c r="E63" i="23"/>
  <c r="C63" i="23"/>
  <c r="E62" i="23"/>
  <c r="F62" i="23" s="1"/>
  <c r="C62" i="23"/>
  <c r="F61" i="23"/>
  <c r="E61" i="23"/>
  <c r="C61" i="23"/>
  <c r="E60" i="23"/>
  <c r="F60" i="23" s="1"/>
  <c r="C60" i="23"/>
  <c r="E59" i="23"/>
  <c r="F59" i="23" s="1"/>
  <c r="C59" i="23"/>
  <c r="E58" i="23"/>
  <c r="F58" i="23" s="1"/>
  <c r="C58" i="23"/>
  <c r="F57" i="23"/>
  <c r="E57" i="23"/>
  <c r="C57" i="23"/>
  <c r="E56" i="23"/>
  <c r="F56" i="23" s="1"/>
  <c r="C56" i="23"/>
  <c r="F55" i="23"/>
  <c r="E55" i="23"/>
  <c r="C55" i="23"/>
  <c r="E54" i="23"/>
  <c r="F54" i="23" s="1"/>
  <c r="C54" i="23"/>
  <c r="F53" i="23"/>
  <c r="E53" i="23"/>
  <c r="C53" i="23"/>
  <c r="E52" i="23"/>
  <c r="F52" i="23" s="1"/>
  <c r="C52" i="23"/>
  <c r="E51" i="23"/>
  <c r="F51" i="23" s="1"/>
  <c r="C51" i="23"/>
  <c r="E50" i="23"/>
  <c r="F50" i="23" s="1"/>
  <c r="C50" i="23"/>
  <c r="F49" i="23"/>
  <c r="E49" i="23"/>
  <c r="C49" i="23"/>
  <c r="E48" i="23"/>
  <c r="F48" i="23" s="1"/>
  <c r="C48" i="23"/>
  <c r="F47" i="23"/>
  <c r="E47" i="23"/>
  <c r="C47" i="23"/>
  <c r="E46" i="23"/>
  <c r="F46" i="23" s="1"/>
  <c r="C46" i="23"/>
  <c r="F45" i="23"/>
  <c r="E45" i="23"/>
  <c r="C45" i="23"/>
  <c r="E44" i="23"/>
  <c r="F44" i="23" s="1"/>
  <c r="C44" i="23"/>
  <c r="E43" i="23"/>
  <c r="F43" i="23" s="1"/>
  <c r="C43" i="23"/>
  <c r="E42" i="23"/>
  <c r="F42" i="23" s="1"/>
  <c r="C42" i="23"/>
  <c r="F41" i="23"/>
  <c r="E41" i="23"/>
  <c r="C41" i="23"/>
  <c r="E40" i="23"/>
  <c r="F40" i="23" s="1"/>
  <c r="C40" i="23"/>
  <c r="F39" i="23"/>
  <c r="E39" i="23"/>
  <c r="C39" i="23"/>
  <c r="E38" i="23"/>
  <c r="F38" i="23" s="1"/>
  <c r="C38" i="23"/>
  <c r="F37" i="23"/>
  <c r="E37" i="23"/>
  <c r="C37" i="23"/>
  <c r="E36" i="23"/>
  <c r="F36" i="23" s="1"/>
  <c r="C36" i="23"/>
  <c r="E35" i="23"/>
  <c r="F35" i="23" s="1"/>
  <c r="C35" i="23"/>
  <c r="E34" i="23"/>
  <c r="F34" i="23" s="1"/>
  <c r="C34" i="23"/>
  <c r="F33" i="23"/>
  <c r="E33" i="23"/>
  <c r="C33" i="23"/>
  <c r="E32" i="23"/>
  <c r="F32" i="23" s="1"/>
  <c r="C32" i="23"/>
  <c r="F31" i="23"/>
  <c r="E31" i="23"/>
  <c r="C31" i="23"/>
  <c r="E30" i="23"/>
  <c r="F30" i="23" s="1"/>
  <c r="C30" i="23"/>
  <c r="F29" i="23"/>
  <c r="E29" i="23"/>
  <c r="C29" i="23"/>
  <c r="E28" i="23"/>
  <c r="F28" i="23" s="1"/>
  <c r="C28" i="23"/>
  <c r="E27" i="23"/>
  <c r="F27" i="23" s="1"/>
  <c r="C27" i="23"/>
  <c r="E26" i="23"/>
  <c r="F26" i="23" s="1"/>
  <c r="C26" i="23"/>
  <c r="F25" i="23"/>
  <c r="E25" i="23"/>
  <c r="C25" i="23"/>
  <c r="E24" i="23"/>
  <c r="F24" i="23" s="1"/>
  <c r="C24" i="23"/>
  <c r="F23" i="23"/>
  <c r="E23" i="23"/>
  <c r="C23" i="23"/>
  <c r="E22" i="23"/>
  <c r="F22" i="23" s="1"/>
  <c r="C22" i="23"/>
  <c r="F21" i="23"/>
  <c r="E21" i="23"/>
  <c r="C21" i="23"/>
  <c r="E20" i="23"/>
  <c r="F20" i="23" s="1"/>
  <c r="C20" i="23"/>
  <c r="E19" i="23"/>
  <c r="F19" i="23" s="1"/>
  <c r="C19" i="23"/>
  <c r="E18" i="23"/>
  <c r="F18" i="23" s="1"/>
  <c r="C18" i="23"/>
  <c r="F17" i="23"/>
  <c r="E17" i="23"/>
  <c r="C17" i="23"/>
  <c r="E16" i="23"/>
  <c r="F16" i="23" s="1"/>
  <c r="C16" i="23"/>
  <c r="F15" i="23"/>
  <c r="E15" i="23"/>
  <c r="C15" i="23"/>
  <c r="E14" i="23"/>
  <c r="F14" i="23" s="1"/>
  <c r="C14" i="23"/>
  <c r="F13" i="23"/>
  <c r="E13" i="23"/>
  <c r="C13" i="23"/>
  <c r="E12" i="23"/>
  <c r="F12" i="23" s="1"/>
  <c r="C12" i="23"/>
  <c r="E11" i="23"/>
  <c r="F11" i="23" s="1"/>
  <c r="C11" i="23"/>
  <c r="E10" i="23"/>
  <c r="F10" i="23" s="1"/>
  <c r="C10" i="23"/>
  <c r="F9" i="23"/>
  <c r="E9" i="23"/>
  <c r="C9" i="23"/>
  <c r="E8" i="23"/>
  <c r="F8" i="23" s="1"/>
  <c r="C8" i="23"/>
  <c r="F7" i="23"/>
  <c r="E7" i="23"/>
  <c r="C7" i="23"/>
  <c r="E6" i="23"/>
  <c r="F6" i="23" s="1"/>
  <c r="C6" i="23"/>
  <c r="F5" i="23"/>
  <c r="E5" i="23"/>
  <c r="C5" i="23"/>
  <c r="E4" i="23"/>
  <c r="F4" i="23" s="1"/>
  <c r="C4" i="23"/>
  <c r="E3" i="23"/>
  <c r="F3" i="23" s="1"/>
  <c r="C3" i="23"/>
  <c r="E2" i="23"/>
  <c r="F2" i="23" s="1"/>
  <c r="C2" i="23"/>
  <c r="J1" i="21" l="1"/>
  <c r="J2" i="2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19" i="22" l="1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118" i="22"/>
  <c r="J117" i="22"/>
  <c r="J116" i="22"/>
  <c r="J115" i="22"/>
  <c r="J114" i="22"/>
  <c r="J113" i="22"/>
  <c r="J112" i="22"/>
  <c r="J111" i="22"/>
  <c r="J110" i="22"/>
  <c r="J109" i="22"/>
  <c r="J108" i="22"/>
  <c r="J107" i="22"/>
  <c r="J106" i="22"/>
  <c r="J105" i="22"/>
  <c r="J104" i="22"/>
  <c r="J103" i="22"/>
  <c r="J102" i="22"/>
  <c r="J101" i="22"/>
  <c r="J100" i="22"/>
  <c r="J99" i="22"/>
  <c r="J98" i="22"/>
  <c r="J97" i="22"/>
  <c r="J96" i="22"/>
  <c r="J95" i="22"/>
  <c r="J94" i="22"/>
  <c r="J93" i="22"/>
  <c r="J92" i="22"/>
  <c r="J91" i="22"/>
  <c r="J90" i="22"/>
  <c r="J89" i="22"/>
  <c r="J88" i="22"/>
  <c r="J87" i="22"/>
  <c r="J86" i="22"/>
  <c r="J85" i="22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J68" i="22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1" i="22"/>
  <c r="K256" i="19" l="1"/>
  <c r="J256" i="19"/>
  <c r="I256" i="19"/>
  <c r="H256" i="19"/>
  <c r="K255" i="19"/>
  <c r="J255" i="19"/>
  <c r="I255" i="19"/>
  <c r="H255" i="19"/>
  <c r="K254" i="19"/>
  <c r="J254" i="19"/>
  <c r="I254" i="19"/>
  <c r="H254" i="19"/>
  <c r="K253" i="19"/>
  <c r="J253" i="19"/>
  <c r="I253" i="19"/>
  <c r="H253" i="19"/>
  <c r="K252" i="19"/>
  <c r="J252" i="19"/>
  <c r="I252" i="19"/>
  <c r="H252" i="19"/>
  <c r="K251" i="19"/>
  <c r="J251" i="19"/>
  <c r="I251" i="19"/>
  <c r="H251" i="19"/>
  <c r="K250" i="19"/>
  <c r="J250" i="19"/>
  <c r="I250" i="19"/>
  <c r="H250" i="19"/>
  <c r="K249" i="19"/>
  <c r="J249" i="19"/>
  <c r="I249" i="19"/>
  <c r="H249" i="19"/>
  <c r="K248" i="19"/>
  <c r="J248" i="19"/>
  <c r="I248" i="19"/>
  <c r="H248" i="19"/>
  <c r="K247" i="19"/>
  <c r="J247" i="19"/>
  <c r="I247" i="19"/>
  <c r="H247" i="19"/>
  <c r="K246" i="19"/>
  <c r="J246" i="19"/>
  <c r="I246" i="19"/>
  <c r="H246" i="19"/>
  <c r="K245" i="19"/>
  <c r="J245" i="19"/>
  <c r="I245" i="19"/>
  <c r="H245" i="19"/>
  <c r="K244" i="19"/>
  <c r="J244" i="19"/>
  <c r="I244" i="19"/>
  <c r="H244" i="19"/>
  <c r="K243" i="19"/>
  <c r="J243" i="19"/>
  <c r="I243" i="19"/>
  <c r="H243" i="19"/>
  <c r="K242" i="19"/>
  <c r="J242" i="19"/>
  <c r="I242" i="19"/>
  <c r="H242" i="19"/>
  <c r="K241" i="19"/>
  <c r="J241" i="19"/>
  <c r="I241" i="19"/>
  <c r="H241" i="19"/>
  <c r="K240" i="19"/>
  <c r="J240" i="19"/>
  <c r="I240" i="19"/>
  <c r="H240" i="19"/>
  <c r="K239" i="19"/>
  <c r="J239" i="19"/>
  <c r="I239" i="19"/>
  <c r="H239" i="19"/>
  <c r="K238" i="19"/>
  <c r="J238" i="19"/>
  <c r="I238" i="19"/>
  <c r="H238" i="19"/>
  <c r="K237" i="19"/>
  <c r="J237" i="19"/>
  <c r="I237" i="19"/>
  <c r="H237" i="19"/>
  <c r="K236" i="19"/>
  <c r="J236" i="19"/>
  <c r="I236" i="19"/>
  <c r="H236" i="19"/>
  <c r="K235" i="19"/>
  <c r="J235" i="19"/>
  <c r="I235" i="19"/>
  <c r="H235" i="19"/>
  <c r="K234" i="19"/>
  <c r="J234" i="19"/>
  <c r="I234" i="19"/>
  <c r="H234" i="19"/>
  <c r="K233" i="19"/>
  <c r="J233" i="19"/>
  <c r="I233" i="19"/>
  <c r="H233" i="19"/>
  <c r="K232" i="19"/>
  <c r="J232" i="19"/>
  <c r="I232" i="19"/>
  <c r="H232" i="19"/>
  <c r="K231" i="19"/>
  <c r="J231" i="19"/>
  <c r="I231" i="19"/>
  <c r="H231" i="19"/>
  <c r="K230" i="19"/>
  <c r="J230" i="19"/>
  <c r="I230" i="19"/>
  <c r="H230" i="19"/>
  <c r="K229" i="19"/>
  <c r="J229" i="19"/>
  <c r="I229" i="19"/>
  <c r="H229" i="19"/>
  <c r="K228" i="19"/>
  <c r="J228" i="19"/>
  <c r="I228" i="19"/>
  <c r="H228" i="19"/>
  <c r="K227" i="19"/>
  <c r="J227" i="19"/>
  <c r="I227" i="19"/>
  <c r="H227" i="19"/>
  <c r="K226" i="19"/>
  <c r="J226" i="19"/>
  <c r="I226" i="19"/>
  <c r="H226" i="19"/>
  <c r="K225" i="19"/>
  <c r="J225" i="19"/>
  <c r="I225" i="19"/>
  <c r="H225" i="19"/>
  <c r="K224" i="19"/>
  <c r="J224" i="19"/>
  <c r="I224" i="19"/>
  <c r="H224" i="19"/>
  <c r="K223" i="19"/>
  <c r="J223" i="19"/>
  <c r="I223" i="19"/>
  <c r="H223" i="19"/>
  <c r="K222" i="19"/>
  <c r="J222" i="19"/>
  <c r="I222" i="19"/>
  <c r="H222" i="19"/>
  <c r="K221" i="19"/>
  <c r="J221" i="19"/>
  <c r="I221" i="19"/>
  <c r="H221" i="19"/>
  <c r="K220" i="19"/>
  <c r="J220" i="19"/>
  <c r="I220" i="19"/>
  <c r="H220" i="19"/>
  <c r="K219" i="19"/>
  <c r="J219" i="19"/>
  <c r="I219" i="19"/>
  <c r="H219" i="19"/>
  <c r="K218" i="19"/>
  <c r="J218" i="19"/>
  <c r="I218" i="19"/>
  <c r="H218" i="19"/>
  <c r="K217" i="19"/>
  <c r="J217" i="19"/>
  <c r="I217" i="19"/>
  <c r="H217" i="19"/>
  <c r="K216" i="19"/>
  <c r="J216" i="19"/>
  <c r="I216" i="19"/>
  <c r="H216" i="19"/>
  <c r="K215" i="19"/>
  <c r="J215" i="19"/>
  <c r="I215" i="19"/>
  <c r="H215" i="19"/>
  <c r="K214" i="19"/>
  <c r="J214" i="19"/>
  <c r="I214" i="19"/>
  <c r="H214" i="19"/>
  <c r="K213" i="19"/>
  <c r="J213" i="19"/>
  <c r="I213" i="19"/>
  <c r="H213" i="19"/>
  <c r="K212" i="19"/>
  <c r="J212" i="19"/>
  <c r="I212" i="19"/>
  <c r="H212" i="19"/>
  <c r="K211" i="19"/>
  <c r="J211" i="19"/>
  <c r="I211" i="19"/>
  <c r="H211" i="19"/>
  <c r="K210" i="19"/>
  <c r="J210" i="19"/>
  <c r="I210" i="19"/>
  <c r="H210" i="19"/>
  <c r="K209" i="19"/>
  <c r="J209" i="19"/>
  <c r="I209" i="19"/>
  <c r="H209" i="19"/>
  <c r="K208" i="19"/>
  <c r="J208" i="19"/>
  <c r="I208" i="19"/>
  <c r="H208" i="19"/>
  <c r="K207" i="19"/>
  <c r="J207" i="19"/>
  <c r="I207" i="19"/>
  <c r="H207" i="19"/>
  <c r="K206" i="19"/>
  <c r="J206" i="19"/>
  <c r="I206" i="19"/>
  <c r="H206" i="19"/>
  <c r="K205" i="19"/>
  <c r="J205" i="19"/>
  <c r="I205" i="19"/>
  <c r="H205" i="19"/>
  <c r="K204" i="19"/>
  <c r="J204" i="19"/>
  <c r="I204" i="19"/>
  <c r="H204" i="19"/>
  <c r="K203" i="19"/>
  <c r="J203" i="19"/>
  <c r="I203" i="19"/>
  <c r="H203" i="19"/>
  <c r="K202" i="19"/>
  <c r="J202" i="19"/>
  <c r="I202" i="19"/>
  <c r="H202" i="19"/>
  <c r="K201" i="19"/>
  <c r="J201" i="19"/>
  <c r="I201" i="19"/>
  <c r="H201" i="19"/>
  <c r="K200" i="19"/>
  <c r="J200" i="19"/>
  <c r="I200" i="19"/>
  <c r="H200" i="19"/>
  <c r="K199" i="19"/>
  <c r="J199" i="19"/>
  <c r="I199" i="19"/>
  <c r="H199" i="19"/>
  <c r="K198" i="19"/>
  <c r="J198" i="19"/>
  <c r="I198" i="19"/>
  <c r="H198" i="19"/>
  <c r="K197" i="19"/>
  <c r="J197" i="19"/>
  <c r="I197" i="19"/>
  <c r="H197" i="19"/>
  <c r="K196" i="19"/>
  <c r="J196" i="19"/>
  <c r="I196" i="19"/>
  <c r="H196" i="19"/>
  <c r="K195" i="19"/>
  <c r="J195" i="19"/>
  <c r="I195" i="19"/>
  <c r="H195" i="19"/>
  <c r="K194" i="19"/>
  <c r="J194" i="19"/>
  <c r="I194" i="19"/>
  <c r="H194" i="19"/>
  <c r="K193" i="19"/>
  <c r="J193" i="19"/>
  <c r="I193" i="19"/>
  <c r="H193" i="19"/>
  <c r="K192" i="19"/>
  <c r="J192" i="19"/>
  <c r="I192" i="19"/>
  <c r="H192" i="19"/>
  <c r="K191" i="19"/>
  <c r="J191" i="19"/>
  <c r="I191" i="19"/>
  <c r="H191" i="19"/>
  <c r="K190" i="19"/>
  <c r="J190" i="19"/>
  <c r="I190" i="19"/>
  <c r="H190" i="19"/>
  <c r="K189" i="19"/>
  <c r="J189" i="19"/>
  <c r="I189" i="19"/>
  <c r="H189" i="19"/>
  <c r="K188" i="19"/>
  <c r="J188" i="19"/>
  <c r="I188" i="19"/>
  <c r="H188" i="19"/>
  <c r="K187" i="19"/>
  <c r="J187" i="19"/>
  <c r="I187" i="19"/>
  <c r="H187" i="19"/>
  <c r="K186" i="19"/>
  <c r="J186" i="19"/>
  <c r="I186" i="19"/>
  <c r="H186" i="19"/>
  <c r="K185" i="19"/>
  <c r="J185" i="19"/>
  <c r="I185" i="19"/>
  <c r="H185" i="19"/>
  <c r="K184" i="19"/>
  <c r="J184" i="19"/>
  <c r="I184" i="19"/>
  <c r="H184" i="19"/>
  <c r="K183" i="19"/>
  <c r="J183" i="19"/>
  <c r="I183" i="19"/>
  <c r="H183" i="19"/>
  <c r="K182" i="19"/>
  <c r="J182" i="19"/>
  <c r="I182" i="19"/>
  <c r="H182" i="19"/>
  <c r="K181" i="19"/>
  <c r="J181" i="19"/>
  <c r="I181" i="19"/>
  <c r="H181" i="19"/>
  <c r="K180" i="19"/>
  <c r="J180" i="19"/>
  <c r="I180" i="19"/>
  <c r="H180" i="19"/>
  <c r="K179" i="19"/>
  <c r="J179" i="19"/>
  <c r="I179" i="19"/>
  <c r="H179" i="19"/>
  <c r="K178" i="19"/>
  <c r="J178" i="19"/>
  <c r="I178" i="19"/>
  <c r="H178" i="19"/>
  <c r="K177" i="19"/>
  <c r="J177" i="19"/>
  <c r="I177" i="19"/>
  <c r="H177" i="19"/>
  <c r="K176" i="19"/>
  <c r="J176" i="19"/>
  <c r="I176" i="19"/>
  <c r="H176" i="19"/>
  <c r="K175" i="19"/>
  <c r="J175" i="19"/>
  <c r="I175" i="19"/>
  <c r="H175" i="19"/>
  <c r="K174" i="19"/>
  <c r="J174" i="19"/>
  <c r="I174" i="19"/>
  <c r="H174" i="19"/>
  <c r="K173" i="19"/>
  <c r="J173" i="19"/>
  <c r="I173" i="19"/>
  <c r="H173" i="19"/>
  <c r="K172" i="19"/>
  <c r="J172" i="19"/>
  <c r="I172" i="19"/>
  <c r="H172" i="19"/>
  <c r="K171" i="19"/>
  <c r="J171" i="19"/>
  <c r="I171" i="19"/>
  <c r="H171" i="19"/>
  <c r="K170" i="19"/>
  <c r="J170" i="19"/>
  <c r="I170" i="19"/>
  <c r="H170" i="19"/>
  <c r="K169" i="19"/>
  <c r="J169" i="19"/>
  <c r="I169" i="19"/>
  <c r="H169" i="19"/>
  <c r="K168" i="19"/>
  <c r="J168" i="19"/>
  <c r="I168" i="19"/>
  <c r="H168" i="19"/>
  <c r="K167" i="19"/>
  <c r="J167" i="19"/>
  <c r="I167" i="19"/>
  <c r="H167" i="19"/>
  <c r="K166" i="19"/>
  <c r="J166" i="19"/>
  <c r="I166" i="19"/>
  <c r="H166" i="19"/>
  <c r="K165" i="19"/>
  <c r="J165" i="19"/>
  <c r="I165" i="19"/>
  <c r="H165" i="19"/>
  <c r="K164" i="19"/>
  <c r="J164" i="19"/>
  <c r="I164" i="19"/>
  <c r="H164" i="19"/>
  <c r="K163" i="19"/>
  <c r="J163" i="19"/>
  <c r="I163" i="19"/>
  <c r="H163" i="19"/>
  <c r="K162" i="19"/>
  <c r="J162" i="19"/>
  <c r="I162" i="19"/>
  <c r="H162" i="19"/>
  <c r="K161" i="19"/>
  <c r="J161" i="19"/>
  <c r="I161" i="19"/>
  <c r="H161" i="19"/>
  <c r="K160" i="19"/>
  <c r="J160" i="19"/>
  <c r="I160" i="19"/>
  <c r="H160" i="19"/>
  <c r="K159" i="19"/>
  <c r="J159" i="19"/>
  <c r="I159" i="19"/>
  <c r="H159" i="19"/>
  <c r="K158" i="19"/>
  <c r="J158" i="19"/>
  <c r="I158" i="19"/>
  <c r="H158" i="19"/>
  <c r="K157" i="19"/>
  <c r="J157" i="19"/>
  <c r="I157" i="19"/>
  <c r="H157" i="19"/>
  <c r="K156" i="19"/>
  <c r="J156" i="19"/>
  <c r="I156" i="19"/>
  <c r="H156" i="19"/>
  <c r="K155" i="19"/>
  <c r="J155" i="19"/>
  <c r="I155" i="19"/>
  <c r="H155" i="19"/>
  <c r="K154" i="19"/>
  <c r="J154" i="19"/>
  <c r="I154" i="19"/>
  <c r="H154" i="19"/>
  <c r="K153" i="19"/>
  <c r="J153" i="19"/>
  <c r="I153" i="19"/>
  <c r="H153" i="19"/>
  <c r="K152" i="19"/>
  <c r="J152" i="19"/>
  <c r="I152" i="19"/>
  <c r="H152" i="19"/>
  <c r="K151" i="19"/>
  <c r="J151" i="19"/>
  <c r="I151" i="19"/>
  <c r="H151" i="19"/>
  <c r="K150" i="19"/>
  <c r="J150" i="19"/>
  <c r="I150" i="19"/>
  <c r="H150" i="19"/>
  <c r="K149" i="19"/>
  <c r="J149" i="19"/>
  <c r="I149" i="19"/>
  <c r="H149" i="19"/>
  <c r="K148" i="19"/>
  <c r="J148" i="19"/>
  <c r="I148" i="19"/>
  <c r="H148" i="19"/>
  <c r="K147" i="19"/>
  <c r="J147" i="19"/>
  <c r="I147" i="19"/>
  <c r="H147" i="19"/>
  <c r="K146" i="19"/>
  <c r="J146" i="19"/>
  <c r="I146" i="19"/>
  <c r="H146" i="19"/>
  <c r="K145" i="19"/>
  <c r="J145" i="19"/>
  <c r="I145" i="19"/>
  <c r="H145" i="19"/>
  <c r="K144" i="19"/>
  <c r="J144" i="19"/>
  <c r="I144" i="19"/>
  <c r="H144" i="19"/>
  <c r="K143" i="19"/>
  <c r="J143" i="19"/>
  <c r="I143" i="19"/>
  <c r="H143" i="19"/>
  <c r="K142" i="19"/>
  <c r="J142" i="19"/>
  <c r="I142" i="19"/>
  <c r="H142" i="19"/>
  <c r="K141" i="19"/>
  <c r="J141" i="19"/>
  <c r="I141" i="19"/>
  <c r="H141" i="19"/>
  <c r="K140" i="19"/>
  <c r="J140" i="19"/>
  <c r="I140" i="19"/>
  <c r="H140" i="19"/>
  <c r="K139" i="19"/>
  <c r="J139" i="19"/>
  <c r="I139" i="19"/>
  <c r="H139" i="19"/>
  <c r="K138" i="19"/>
  <c r="J138" i="19"/>
  <c r="I138" i="19"/>
  <c r="H138" i="19"/>
  <c r="K137" i="19"/>
  <c r="J137" i="19"/>
  <c r="I137" i="19"/>
  <c r="H137" i="19"/>
  <c r="K136" i="19"/>
  <c r="J136" i="19"/>
  <c r="I136" i="19"/>
  <c r="H136" i="19"/>
  <c r="K135" i="19"/>
  <c r="J135" i="19"/>
  <c r="I135" i="19"/>
  <c r="H135" i="19"/>
  <c r="K134" i="19"/>
  <c r="J134" i="19"/>
  <c r="I134" i="19"/>
  <c r="H134" i="19"/>
  <c r="K133" i="19"/>
  <c r="J133" i="19"/>
  <c r="I133" i="19"/>
  <c r="H133" i="19"/>
  <c r="K132" i="19"/>
  <c r="J132" i="19"/>
  <c r="I132" i="19"/>
  <c r="H132" i="19"/>
  <c r="K131" i="19"/>
  <c r="J131" i="19"/>
  <c r="I131" i="19"/>
  <c r="H131" i="19"/>
  <c r="K130" i="19"/>
  <c r="J130" i="19"/>
  <c r="I130" i="19"/>
  <c r="H130" i="19"/>
  <c r="K129" i="19"/>
  <c r="J129" i="19"/>
  <c r="I129" i="19"/>
  <c r="H129" i="19"/>
  <c r="K128" i="19"/>
  <c r="J128" i="19"/>
  <c r="I128" i="19"/>
  <c r="H128" i="19"/>
  <c r="K127" i="19"/>
  <c r="J127" i="19"/>
  <c r="I127" i="19"/>
  <c r="H127" i="19"/>
  <c r="K126" i="19"/>
  <c r="J126" i="19"/>
  <c r="I126" i="19"/>
  <c r="H126" i="19"/>
  <c r="K125" i="19"/>
  <c r="J125" i="19"/>
  <c r="I125" i="19"/>
  <c r="H125" i="19"/>
  <c r="K124" i="19"/>
  <c r="J124" i="19"/>
  <c r="I124" i="19"/>
  <c r="H124" i="19"/>
  <c r="K123" i="19"/>
  <c r="J123" i="19"/>
  <c r="I123" i="19"/>
  <c r="H123" i="19"/>
  <c r="K122" i="19"/>
  <c r="J122" i="19"/>
  <c r="I122" i="19"/>
  <c r="H122" i="19"/>
  <c r="K121" i="19"/>
  <c r="J121" i="19"/>
  <c r="I121" i="19"/>
  <c r="H121" i="19"/>
  <c r="K120" i="19"/>
  <c r="J120" i="19"/>
  <c r="I120" i="19"/>
  <c r="H120" i="19"/>
  <c r="K119" i="19"/>
  <c r="J119" i="19"/>
  <c r="I119" i="19"/>
  <c r="H119" i="19"/>
  <c r="K118" i="19"/>
  <c r="J118" i="19"/>
  <c r="I118" i="19"/>
  <c r="H118" i="19"/>
  <c r="K117" i="19"/>
  <c r="J117" i="19"/>
  <c r="I117" i="19"/>
  <c r="H117" i="19"/>
  <c r="K116" i="19"/>
  <c r="J116" i="19"/>
  <c r="I116" i="19"/>
  <c r="H116" i="19"/>
  <c r="K115" i="19"/>
  <c r="J115" i="19"/>
  <c r="I115" i="19"/>
  <c r="H115" i="19"/>
  <c r="K114" i="19"/>
  <c r="J114" i="19"/>
  <c r="I114" i="19"/>
  <c r="H114" i="19"/>
  <c r="K113" i="19"/>
  <c r="J113" i="19"/>
  <c r="I113" i="19"/>
  <c r="H113" i="19"/>
  <c r="K112" i="19"/>
  <c r="J112" i="19"/>
  <c r="I112" i="19"/>
  <c r="H112" i="19"/>
  <c r="K111" i="19"/>
  <c r="J111" i="19"/>
  <c r="I111" i="19"/>
  <c r="H111" i="19"/>
  <c r="K110" i="19"/>
  <c r="J110" i="19"/>
  <c r="I110" i="19"/>
  <c r="H110" i="19"/>
  <c r="K109" i="19"/>
  <c r="J109" i="19"/>
  <c r="I109" i="19"/>
  <c r="H109" i="19"/>
  <c r="K108" i="19"/>
  <c r="J108" i="19"/>
  <c r="I108" i="19"/>
  <c r="H108" i="19"/>
  <c r="K107" i="19"/>
  <c r="J107" i="19"/>
  <c r="I107" i="19"/>
  <c r="H107" i="19"/>
  <c r="K106" i="19"/>
  <c r="J106" i="19"/>
  <c r="I106" i="19"/>
  <c r="H106" i="19"/>
  <c r="K105" i="19"/>
  <c r="J105" i="19"/>
  <c r="I105" i="19"/>
  <c r="H105" i="19"/>
  <c r="K104" i="19"/>
  <c r="J104" i="19"/>
  <c r="I104" i="19"/>
  <c r="H104" i="19"/>
  <c r="K103" i="19"/>
  <c r="J103" i="19"/>
  <c r="I103" i="19"/>
  <c r="H103" i="19"/>
  <c r="K102" i="19"/>
  <c r="J102" i="19"/>
  <c r="I102" i="19"/>
  <c r="H102" i="19"/>
  <c r="K101" i="19"/>
  <c r="J101" i="19"/>
  <c r="I101" i="19"/>
  <c r="H101" i="19"/>
  <c r="K100" i="19"/>
  <c r="J100" i="19"/>
  <c r="I100" i="19"/>
  <c r="H100" i="19"/>
  <c r="K99" i="19"/>
  <c r="J99" i="19"/>
  <c r="I99" i="19"/>
  <c r="H99" i="19"/>
  <c r="K98" i="19"/>
  <c r="J98" i="19"/>
  <c r="I98" i="19"/>
  <c r="H98" i="19"/>
  <c r="K97" i="19"/>
  <c r="J97" i="19"/>
  <c r="I97" i="19"/>
  <c r="H97" i="19"/>
  <c r="K96" i="19"/>
  <c r="J96" i="19"/>
  <c r="I96" i="19"/>
  <c r="H96" i="19"/>
  <c r="K95" i="19"/>
  <c r="J95" i="19"/>
  <c r="I95" i="19"/>
  <c r="H95" i="19"/>
  <c r="K94" i="19"/>
  <c r="J94" i="19"/>
  <c r="I94" i="19"/>
  <c r="H94" i="19"/>
  <c r="K93" i="19"/>
  <c r="J93" i="19"/>
  <c r="I93" i="19"/>
  <c r="H93" i="19"/>
  <c r="K92" i="19"/>
  <c r="J92" i="19"/>
  <c r="I92" i="19"/>
  <c r="H92" i="19"/>
  <c r="K91" i="19"/>
  <c r="J91" i="19"/>
  <c r="I91" i="19"/>
  <c r="H91" i="19"/>
  <c r="K90" i="19"/>
  <c r="J90" i="19"/>
  <c r="I90" i="19"/>
  <c r="H90" i="19"/>
  <c r="K89" i="19"/>
  <c r="J89" i="19"/>
  <c r="I89" i="19"/>
  <c r="H89" i="19"/>
  <c r="K88" i="19"/>
  <c r="J88" i="19"/>
  <c r="I88" i="19"/>
  <c r="H88" i="19"/>
  <c r="K87" i="19"/>
  <c r="J87" i="19"/>
  <c r="I87" i="19"/>
  <c r="H87" i="19"/>
  <c r="K86" i="19"/>
  <c r="J86" i="19"/>
  <c r="I86" i="19"/>
  <c r="H86" i="19"/>
  <c r="K85" i="19"/>
  <c r="J85" i="19"/>
  <c r="I85" i="19"/>
  <c r="H85" i="19"/>
  <c r="K84" i="19"/>
  <c r="J84" i="19"/>
  <c r="I84" i="19"/>
  <c r="H84" i="19"/>
  <c r="K83" i="19"/>
  <c r="J83" i="19"/>
  <c r="I83" i="19"/>
  <c r="H83" i="19"/>
  <c r="K82" i="19"/>
  <c r="J82" i="19"/>
  <c r="I82" i="19"/>
  <c r="H82" i="19"/>
  <c r="K81" i="19"/>
  <c r="J81" i="19"/>
  <c r="I81" i="19"/>
  <c r="H81" i="19"/>
  <c r="K80" i="19"/>
  <c r="J80" i="19"/>
  <c r="I80" i="19"/>
  <c r="H80" i="19"/>
  <c r="K79" i="19"/>
  <c r="J79" i="19"/>
  <c r="I79" i="19"/>
  <c r="H79" i="19"/>
  <c r="K78" i="19"/>
  <c r="J78" i="19"/>
  <c r="I78" i="19"/>
  <c r="H78" i="19"/>
  <c r="K77" i="19"/>
  <c r="J77" i="19"/>
  <c r="I77" i="19"/>
  <c r="H77" i="19"/>
  <c r="K76" i="19"/>
  <c r="J76" i="19"/>
  <c r="I76" i="19"/>
  <c r="H76" i="19"/>
  <c r="K75" i="19"/>
  <c r="J75" i="19"/>
  <c r="I75" i="19"/>
  <c r="H75" i="19"/>
  <c r="K74" i="19"/>
  <c r="J74" i="19"/>
  <c r="I74" i="19"/>
  <c r="H74" i="19"/>
  <c r="K73" i="19"/>
  <c r="J73" i="19"/>
  <c r="I73" i="19"/>
  <c r="H73" i="19"/>
  <c r="K72" i="19"/>
  <c r="J72" i="19"/>
  <c r="I72" i="19"/>
  <c r="H72" i="19"/>
  <c r="K71" i="19"/>
  <c r="J71" i="19"/>
  <c r="I71" i="19"/>
  <c r="H71" i="19"/>
  <c r="K70" i="19"/>
  <c r="J70" i="19"/>
  <c r="I70" i="19"/>
  <c r="H70" i="19"/>
  <c r="K69" i="19"/>
  <c r="J69" i="19"/>
  <c r="I69" i="19"/>
  <c r="H69" i="19"/>
  <c r="K68" i="19"/>
  <c r="J68" i="19"/>
  <c r="I68" i="19"/>
  <c r="H68" i="19"/>
  <c r="K67" i="19"/>
  <c r="J67" i="19"/>
  <c r="I67" i="19"/>
  <c r="H67" i="19"/>
  <c r="K66" i="19"/>
  <c r="J66" i="19"/>
  <c r="I66" i="19"/>
  <c r="H66" i="19"/>
  <c r="K65" i="19"/>
  <c r="J65" i="19"/>
  <c r="I65" i="19"/>
  <c r="H65" i="19"/>
  <c r="K64" i="19"/>
  <c r="J64" i="19"/>
  <c r="I64" i="19"/>
  <c r="H64" i="19"/>
  <c r="K63" i="19"/>
  <c r="J63" i="19"/>
  <c r="I63" i="19"/>
  <c r="H63" i="19"/>
  <c r="K62" i="19"/>
  <c r="J62" i="19"/>
  <c r="I62" i="19"/>
  <c r="H62" i="19"/>
  <c r="K61" i="19"/>
  <c r="J61" i="19"/>
  <c r="I61" i="19"/>
  <c r="H61" i="19"/>
  <c r="K60" i="19"/>
  <c r="J60" i="19"/>
  <c r="I60" i="19"/>
  <c r="H60" i="19"/>
  <c r="K59" i="19"/>
  <c r="J59" i="19"/>
  <c r="I59" i="19"/>
  <c r="H59" i="19"/>
  <c r="K58" i="19"/>
  <c r="J58" i="19"/>
  <c r="I58" i="19"/>
  <c r="H58" i="19"/>
  <c r="K57" i="19"/>
  <c r="J57" i="19"/>
  <c r="I57" i="19"/>
  <c r="H57" i="19"/>
  <c r="K56" i="19"/>
  <c r="J56" i="19"/>
  <c r="I56" i="19"/>
  <c r="H56" i="19"/>
  <c r="K55" i="19"/>
  <c r="J55" i="19"/>
  <c r="I55" i="19"/>
  <c r="H55" i="19"/>
  <c r="K54" i="19"/>
  <c r="J54" i="19"/>
  <c r="I54" i="19"/>
  <c r="H54" i="19"/>
  <c r="K53" i="19"/>
  <c r="J53" i="19"/>
  <c r="I53" i="19"/>
  <c r="H53" i="19"/>
  <c r="K52" i="19"/>
  <c r="J52" i="19"/>
  <c r="I52" i="19"/>
  <c r="H52" i="19"/>
  <c r="K51" i="19"/>
  <c r="J51" i="19"/>
  <c r="I51" i="19"/>
  <c r="H51" i="19"/>
  <c r="K50" i="19"/>
  <c r="J50" i="19"/>
  <c r="I50" i="19"/>
  <c r="H50" i="19"/>
  <c r="K49" i="19"/>
  <c r="J49" i="19"/>
  <c r="I49" i="19"/>
  <c r="H49" i="19"/>
  <c r="K48" i="19"/>
  <c r="J48" i="19"/>
  <c r="I48" i="19"/>
  <c r="H48" i="19"/>
  <c r="K47" i="19"/>
  <c r="J47" i="19"/>
  <c r="I47" i="19"/>
  <c r="H47" i="19"/>
  <c r="K46" i="19"/>
  <c r="J46" i="19"/>
  <c r="I46" i="19"/>
  <c r="H46" i="19"/>
  <c r="K45" i="19"/>
  <c r="J45" i="19"/>
  <c r="I45" i="19"/>
  <c r="H45" i="19"/>
  <c r="K44" i="19"/>
  <c r="J44" i="19"/>
  <c r="I44" i="19"/>
  <c r="H44" i="19"/>
  <c r="K43" i="19"/>
  <c r="J43" i="19"/>
  <c r="I43" i="19"/>
  <c r="H43" i="19"/>
  <c r="K42" i="19"/>
  <c r="J42" i="19"/>
  <c r="I42" i="19"/>
  <c r="H42" i="19"/>
  <c r="K41" i="19"/>
  <c r="J41" i="19"/>
  <c r="I41" i="19"/>
  <c r="H41" i="19"/>
  <c r="K40" i="19"/>
  <c r="J40" i="19"/>
  <c r="I40" i="19"/>
  <c r="H40" i="19"/>
  <c r="K39" i="19"/>
  <c r="J39" i="19"/>
  <c r="I39" i="19"/>
  <c r="H39" i="19"/>
  <c r="K38" i="19"/>
  <c r="J38" i="19"/>
  <c r="I38" i="19"/>
  <c r="H38" i="19"/>
  <c r="K37" i="19"/>
  <c r="J37" i="19"/>
  <c r="I37" i="19"/>
  <c r="H37" i="19"/>
  <c r="K36" i="19"/>
  <c r="J36" i="19"/>
  <c r="I36" i="19"/>
  <c r="H36" i="19"/>
  <c r="K35" i="19"/>
  <c r="J35" i="19"/>
  <c r="I35" i="19"/>
  <c r="H35" i="19"/>
  <c r="K34" i="19"/>
  <c r="J34" i="19"/>
  <c r="I34" i="19"/>
  <c r="H34" i="19"/>
  <c r="K33" i="19"/>
  <c r="J33" i="19"/>
  <c r="I33" i="19"/>
  <c r="H33" i="19"/>
  <c r="K32" i="19"/>
  <c r="J32" i="19"/>
  <c r="I32" i="19"/>
  <c r="H32" i="19"/>
  <c r="K31" i="19"/>
  <c r="J31" i="19"/>
  <c r="I31" i="19"/>
  <c r="H31" i="19"/>
  <c r="K30" i="19"/>
  <c r="J30" i="19"/>
  <c r="I30" i="19"/>
  <c r="H30" i="19"/>
  <c r="K29" i="19"/>
  <c r="J29" i="19"/>
  <c r="I29" i="19"/>
  <c r="H29" i="19"/>
  <c r="K28" i="19"/>
  <c r="J28" i="19"/>
  <c r="I28" i="19"/>
  <c r="H28" i="19"/>
  <c r="K27" i="19"/>
  <c r="J27" i="19"/>
  <c r="I27" i="19"/>
  <c r="H27" i="19"/>
  <c r="K26" i="19"/>
  <c r="J26" i="19"/>
  <c r="I26" i="19"/>
  <c r="H26" i="19"/>
  <c r="K25" i="19"/>
  <c r="J25" i="19"/>
  <c r="I25" i="19"/>
  <c r="H25" i="19"/>
  <c r="K24" i="19"/>
  <c r="J24" i="19"/>
  <c r="I24" i="19"/>
  <c r="H24" i="19"/>
  <c r="K23" i="19"/>
  <c r="J23" i="19"/>
  <c r="I23" i="19"/>
  <c r="H23" i="19"/>
  <c r="K22" i="19"/>
  <c r="J22" i="19"/>
  <c r="I22" i="19"/>
  <c r="H22" i="19"/>
  <c r="K21" i="19"/>
  <c r="J21" i="19"/>
  <c r="I21" i="19"/>
  <c r="H21" i="19"/>
  <c r="K20" i="19"/>
  <c r="J20" i="19"/>
  <c r="I20" i="19"/>
  <c r="H20" i="19"/>
  <c r="K19" i="19"/>
  <c r="J19" i="19"/>
  <c r="I19" i="19"/>
  <c r="H19" i="19"/>
  <c r="K18" i="19"/>
  <c r="J18" i="19"/>
  <c r="I18" i="19"/>
  <c r="H18" i="19"/>
  <c r="K17" i="19"/>
  <c r="J17" i="19"/>
  <c r="I17" i="19"/>
  <c r="H17" i="19"/>
  <c r="K16" i="19"/>
  <c r="J16" i="19"/>
  <c r="I16" i="19"/>
  <c r="H16" i="19"/>
  <c r="K15" i="19"/>
  <c r="J15" i="19"/>
  <c r="I15" i="19"/>
  <c r="H15" i="19"/>
  <c r="K14" i="19"/>
  <c r="J14" i="19"/>
  <c r="I14" i="19"/>
  <c r="H14" i="19"/>
  <c r="K13" i="19"/>
  <c r="J13" i="19"/>
  <c r="I13" i="19"/>
  <c r="H13" i="19"/>
  <c r="K12" i="19"/>
  <c r="J12" i="19"/>
  <c r="I12" i="19"/>
  <c r="H12" i="19"/>
  <c r="K11" i="19"/>
  <c r="J11" i="19"/>
  <c r="I11" i="19"/>
  <c r="H11" i="19"/>
  <c r="K10" i="19"/>
  <c r="J10" i="19"/>
  <c r="I10" i="19"/>
  <c r="H10" i="19"/>
  <c r="K9" i="19"/>
  <c r="J9" i="19"/>
  <c r="I9" i="19"/>
  <c r="H9" i="19"/>
  <c r="K8" i="19"/>
  <c r="J8" i="19"/>
  <c r="I8" i="19"/>
  <c r="H8" i="19"/>
  <c r="K7" i="19"/>
  <c r="J7" i="19"/>
  <c r="I7" i="19"/>
  <c r="H7" i="19"/>
  <c r="K6" i="19"/>
  <c r="J6" i="19"/>
  <c r="I6" i="19"/>
  <c r="H6" i="19"/>
  <c r="K5" i="19"/>
  <c r="J5" i="19"/>
  <c r="I5" i="19"/>
  <c r="H5" i="19"/>
  <c r="K4" i="19"/>
  <c r="J4" i="19"/>
  <c r="I4" i="19"/>
  <c r="H4" i="19"/>
  <c r="K3" i="19"/>
  <c r="J3" i="19"/>
  <c r="I3" i="19"/>
  <c r="H3" i="19"/>
  <c r="K2" i="19"/>
  <c r="J2" i="19"/>
  <c r="I2" i="19"/>
  <c r="H2" i="19"/>
  <c r="D5" i="20"/>
  <c r="D11" i="20"/>
  <c r="D3" i="13"/>
  <c r="D7" i="20"/>
  <c r="D9" i="13"/>
  <c r="D19" i="20"/>
  <c r="D10" i="13"/>
  <c r="B12" i="16"/>
  <c r="D9" i="20"/>
  <c r="B5" i="12"/>
  <c r="D19" i="13"/>
  <c r="D18" i="20"/>
  <c r="D16" i="20"/>
  <c r="D21" i="13"/>
  <c r="D14" i="13"/>
  <c r="D17" i="20"/>
  <c r="E25" i="20"/>
  <c r="D10" i="20"/>
  <c r="D12" i="20"/>
  <c r="D18" i="13"/>
  <c r="E28" i="13"/>
  <c r="D23" i="13"/>
  <c r="B4" i="18" a="1"/>
  <c r="D12" i="13"/>
  <c r="D24" i="14" a="1"/>
  <c r="B38" i="16" a="1"/>
  <c r="D6" i="20"/>
  <c r="C17" i="14"/>
  <c r="C12" i="14"/>
  <c r="B5" i="16"/>
  <c r="D8" i="20"/>
  <c r="E3" i="17" a="1"/>
  <c r="D15" i="13"/>
  <c r="D15" i="20"/>
  <c r="D4" i="20"/>
  <c r="E27" i="20"/>
  <c r="D3" i="20"/>
  <c r="D17" i="13"/>
  <c r="D16" i="13"/>
  <c r="D4" i="12"/>
  <c r="B9" i="16"/>
  <c r="D20" i="13"/>
  <c r="C11" i="14"/>
  <c r="B6" i="16"/>
  <c r="B46" i="16" a="1"/>
  <c r="D6" i="13"/>
  <c r="D14" i="20"/>
  <c r="B19" i="16" a="1"/>
  <c r="B7" i="16"/>
  <c r="D7" i="13"/>
  <c r="E26" i="20"/>
  <c r="E30" i="13"/>
  <c r="B10" i="16"/>
  <c r="D8" i="13"/>
  <c r="B14" i="16"/>
  <c r="D20" i="20"/>
  <c r="B8" i="16"/>
  <c r="H3" i="17" a="1"/>
  <c r="D25" i="13"/>
  <c r="D22" i="13"/>
  <c r="D4" i="13"/>
  <c r="E24" i="20"/>
  <c r="E29" i="13"/>
  <c r="B4" i="12"/>
  <c r="B11" i="16"/>
  <c r="D13" i="20"/>
  <c r="D11" i="13"/>
  <c r="B13" i="16"/>
  <c r="D13" i="13"/>
  <c r="B3" i="17" a="1"/>
  <c r="D24" i="13"/>
  <c r="C18" i="14"/>
  <c r="F3" i="18" a="1"/>
  <c r="D5" i="13"/>
  <c r="B23" i="18" l="1"/>
  <c r="B15" i="18"/>
  <c r="B7" i="18"/>
  <c r="B11" i="18"/>
  <c r="B10" i="18"/>
  <c r="B9" i="18"/>
  <c r="B8" i="18"/>
  <c r="B22" i="18"/>
  <c r="B14" i="18"/>
  <c r="B6" i="18"/>
  <c r="B21" i="18"/>
  <c r="B13" i="18"/>
  <c r="B5" i="18"/>
  <c r="B19" i="18"/>
  <c r="B20" i="18"/>
  <c r="B12" i="18"/>
  <c r="B4" i="18"/>
  <c r="B18" i="18"/>
  <c r="B17" i="18"/>
  <c r="B16" i="18"/>
  <c r="F99" i="18"/>
  <c r="F91" i="18"/>
  <c r="F83" i="18"/>
  <c r="F75" i="18"/>
  <c r="F67" i="18"/>
  <c r="F59" i="18"/>
  <c r="F51" i="18"/>
  <c r="F43" i="18"/>
  <c r="F35" i="18"/>
  <c r="F27" i="18"/>
  <c r="F19" i="18"/>
  <c r="F11" i="18"/>
  <c r="F3" i="18"/>
  <c r="F87" i="18"/>
  <c r="F55" i="18"/>
  <c r="F39" i="18"/>
  <c r="F7" i="18"/>
  <c r="F70" i="18"/>
  <c r="F54" i="18"/>
  <c r="F22" i="18"/>
  <c r="F6" i="18"/>
  <c r="F93" i="18"/>
  <c r="F61" i="18"/>
  <c r="F29" i="18"/>
  <c r="F5" i="18"/>
  <c r="F84" i="18"/>
  <c r="F68" i="18"/>
  <c r="F44" i="18"/>
  <c r="F20" i="18"/>
  <c r="F98" i="18"/>
  <c r="F90" i="18"/>
  <c r="F82" i="18"/>
  <c r="F74" i="18"/>
  <c r="F66" i="18"/>
  <c r="F58" i="18"/>
  <c r="F50" i="18"/>
  <c r="F42" i="18"/>
  <c r="F34" i="18"/>
  <c r="F26" i="18"/>
  <c r="F18" i="18"/>
  <c r="F10" i="18"/>
  <c r="F97" i="18"/>
  <c r="F89" i="18"/>
  <c r="F81" i="18"/>
  <c r="F73" i="18"/>
  <c r="F65" i="18"/>
  <c r="F57" i="18"/>
  <c r="F49" i="18"/>
  <c r="F41" i="18"/>
  <c r="F33" i="18"/>
  <c r="F25" i="18"/>
  <c r="F17" i="18"/>
  <c r="F9" i="18"/>
  <c r="F8" i="18"/>
  <c r="F96" i="18"/>
  <c r="F88" i="18"/>
  <c r="F80" i="18"/>
  <c r="F72" i="18"/>
  <c r="F64" i="18"/>
  <c r="F56" i="18"/>
  <c r="F48" i="18"/>
  <c r="F40" i="18"/>
  <c r="F32" i="18"/>
  <c r="F24" i="18"/>
  <c r="F16" i="18"/>
  <c r="F95" i="18"/>
  <c r="F79" i="18"/>
  <c r="F71" i="18"/>
  <c r="F63" i="18"/>
  <c r="F47" i="18"/>
  <c r="F31" i="18"/>
  <c r="F23" i="18"/>
  <c r="F15" i="18"/>
  <c r="F102" i="18"/>
  <c r="F94" i="18"/>
  <c r="F86" i="18"/>
  <c r="F78" i="18"/>
  <c r="F62" i="18"/>
  <c r="F46" i="18"/>
  <c r="F38" i="18"/>
  <c r="F30" i="18"/>
  <c r="F14" i="18"/>
  <c r="F101" i="18"/>
  <c r="F85" i="18"/>
  <c r="F77" i="18"/>
  <c r="F69" i="18"/>
  <c r="F53" i="18"/>
  <c r="F45" i="18"/>
  <c r="F37" i="18"/>
  <c r="F21" i="18"/>
  <c r="F13" i="18"/>
  <c r="F100" i="18"/>
  <c r="F92" i="18"/>
  <c r="F76" i="18"/>
  <c r="F60" i="18"/>
  <c r="F52" i="18"/>
  <c r="F36" i="18"/>
  <c r="F12" i="18"/>
  <c r="F4" i="18"/>
  <c r="F28" i="18"/>
  <c r="B998" i="17"/>
  <c r="B990" i="17"/>
  <c r="B982" i="17"/>
  <c r="B974" i="17"/>
  <c r="B966" i="17"/>
  <c r="B958" i="17"/>
  <c r="B950" i="17"/>
  <c r="B942" i="17"/>
  <c r="B934" i="17"/>
  <c r="B926" i="17"/>
  <c r="B918" i="17"/>
  <c r="B910" i="17"/>
  <c r="B902" i="17"/>
  <c r="B894" i="17"/>
  <c r="B886" i="17"/>
  <c r="B878" i="17"/>
  <c r="B870" i="17"/>
  <c r="B862" i="17"/>
  <c r="B854" i="17"/>
  <c r="B846" i="17"/>
  <c r="B838" i="17"/>
  <c r="B830" i="17"/>
  <c r="B822" i="17"/>
  <c r="B814" i="17"/>
  <c r="B806" i="17"/>
  <c r="B798" i="17"/>
  <c r="B790" i="17"/>
  <c r="B782" i="17"/>
  <c r="B774" i="17"/>
  <c r="B766" i="17"/>
  <c r="B758" i="17"/>
  <c r="B750" i="17"/>
  <c r="B742" i="17"/>
  <c r="B734" i="17"/>
  <c r="B997" i="17"/>
  <c r="B989" i="17"/>
  <c r="B981" i="17"/>
  <c r="B973" i="17"/>
  <c r="B965" i="17"/>
  <c r="B957" i="17"/>
  <c r="B949" i="17"/>
  <c r="B941" i="17"/>
  <c r="B933" i="17"/>
  <c r="B925" i="17"/>
  <c r="B917" i="17"/>
  <c r="B909" i="17"/>
  <c r="B901" i="17"/>
  <c r="B893" i="17"/>
  <c r="B885" i="17"/>
  <c r="B877" i="17"/>
  <c r="B869" i="17"/>
  <c r="B861" i="17"/>
  <c r="B853" i="17"/>
  <c r="B845" i="17"/>
  <c r="B837" i="17"/>
  <c r="B829" i="17"/>
  <c r="B821" i="17"/>
  <c r="B813" i="17"/>
  <c r="B805" i="17"/>
  <c r="B797" i="17"/>
  <c r="B789" i="17"/>
  <c r="B781" i="17"/>
  <c r="B773" i="17"/>
  <c r="B765" i="17"/>
  <c r="B757" i="17"/>
  <c r="B749" i="17"/>
  <c r="B741" i="17"/>
  <c r="B733" i="17"/>
  <c r="B996" i="17"/>
  <c r="B988" i="17"/>
  <c r="B980" i="17"/>
  <c r="B972" i="17"/>
  <c r="B964" i="17"/>
  <c r="B956" i="17"/>
  <c r="B948" i="17"/>
  <c r="B940" i="17"/>
  <c r="B932" i="17"/>
  <c r="B924" i="17"/>
  <c r="B916" i="17"/>
  <c r="B908" i="17"/>
  <c r="B900" i="17"/>
  <c r="B892" i="17"/>
  <c r="B884" i="17"/>
  <c r="B876" i="17"/>
  <c r="B868" i="17"/>
  <c r="B860" i="17"/>
  <c r="B852" i="17"/>
  <c r="B844" i="17"/>
  <c r="B836" i="17"/>
  <c r="B828" i="17"/>
  <c r="B820" i="17"/>
  <c r="B812" i="17"/>
  <c r="B804" i="17"/>
  <c r="B796" i="17"/>
  <c r="B788" i="17"/>
  <c r="B780" i="17"/>
  <c r="B772" i="17"/>
  <c r="B764" i="17"/>
  <c r="B756" i="17"/>
  <c r="B748" i="17"/>
  <c r="B740" i="17"/>
  <c r="B732" i="17"/>
  <c r="B995" i="17"/>
  <c r="B987" i="17"/>
  <c r="B979" i="17"/>
  <c r="B971" i="17"/>
  <c r="B963" i="17"/>
  <c r="B955" i="17"/>
  <c r="B947" i="17"/>
  <c r="B939" i="17"/>
  <c r="B931" i="17"/>
  <c r="B923" i="17"/>
  <c r="B915" i="17"/>
  <c r="B907" i="17"/>
  <c r="B899" i="17"/>
  <c r="B891" i="17"/>
  <c r="B883" i="17"/>
  <c r="B875" i="17"/>
  <c r="B867" i="17"/>
  <c r="B859" i="17"/>
  <c r="B851" i="17"/>
  <c r="B843" i="17"/>
  <c r="B835" i="17"/>
  <c r="B827" i="17"/>
  <c r="B819" i="17"/>
  <c r="B811" i="17"/>
  <c r="B803" i="17"/>
  <c r="B795" i="17"/>
  <c r="B787" i="17"/>
  <c r="B779" i="17"/>
  <c r="B771" i="17"/>
  <c r="B763" i="17"/>
  <c r="B755" i="17"/>
  <c r="B747" i="17"/>
  <c r="B739" i="17"/>
  <c r="B731" i="17"/>
  <c r="B1002" i="17"/>
  <c r="B994" i="17"/>
  <c r="B986" i="17"/>
  <c r="B978" i="17"/>
  <c r="B970" i="17"/>
  <c r="B962" i="17"/>
  <c r="B954" i="17"/>
  <c r="B946" i="17"/>
  <c r="B938" i="17"/>
  <c r="B930" i="17"/>
  <c r="B922" i="17"/>
  <c r="B914" i="17"/>
  <c r="B906" i="17"/>
  <c r="B898" i="17"/>
  <c r="B890" i="17"/>
  <c r="B882" i="17"/>
  <c r="B874" i="17"/>
  <c r="B866" i="17"/>
  <c r="B858" i="17"/>
  <c r="B850" i="17"/>
  <c r="B842" i="17"/>
  <c r="B834" i="17"/>
  <c r="B826" i="17"/>
  <c r="B818" i="17"/>
  <c r="B810" i="17"/>
  <c r="B802" i="17"/>
  <c r="B794" i="17"/>
  <c r="B786" i="17"/>
  <c r="B778" i="17"/>
  <c r="B770" i="17"/>
  <c r="B762" i="17"/>
  <c r="B754" i="17"/>
  <c r="B746" i="17"/>
  <c r="B738" i="17"/>
  <c r="B730" i="17"/>
  <c r="B1001" i="17"/>
  <c r="B993" i="17"/>
  <c r="B985" i="17"/>
  <c r="B977" i="17"/>
  <c r="B969" i="17"/>
  <c r="B961" i="17"/>
  <c r="B953" i="17"/>
  <c r="B945" i="17"/>
  <c r="B937" i="17"/>
  <c r="B929" i="17"/>
  <c r="B921" i="17"/>
  <c r="B913" i="17"/>
  <c r="B905" i="17"/>
  <c r="B897" i="17"/>
  <c r="B889" i="17"/>
  <c r="B881" i="17"/>
  <c r="B873" i="17"/>
  <c r="B865" i="17"/>
  <c r="B857" i="17"/>
  <c r="B849" i="17"/>
  <c r="B841" i="17"/>
  <c r="B833" i="17"/>
  <c r="B825" i="17"/>
  <c r="B817" i="17"/>
  <c r="B809" i="17"/>
  <c r="B801" i="17"/>
  <c r="B793" i="17"/>
  <c r="B785" i="17"/>
  <c r="B777" i="17"/>
  <c r="B769" i="17"/>
  <c r="B761" i="17"/>
  <c r="B753" i="17"/>
  <c r="B745" i="17"/>
  <c r="B737" i="17"/>
  <c r="B992" i="17"/>
  <c r="B960" i="17"/>
  <c r="B928" i="17"/>
  <c r="B896" i="17"/>
  <c r="B864" i="17"/>
  <c r="B832" i="17"/>
  <c r="B800" i="17"/>
  <c r="B768" i="17"/>
  <c r="B736" i="17"/>
  <c r="B723" i="17"/>
  <c r="B715" i="17"/>
  <c r="B707" i="17"/>
  <c r="B699" i="17"/>
  <c r="B691" i="17"/>
  <c r="B683" i="17"/>
  <c r="B675" i="17"/>
  <c r="B667" i="17"/>
  <c r="B659" i="17"/>
  <c r="B651" i="17"/>
  <c r="B643" i="17"/>
  <c r="B635" i="17"/>
  <c r="B627" i="17"/>
  <c r="B619" i="17"/>
  <c r="B611" i="17"/>
  <c r="B603" i="17"/>
  <c r="B595" i="17"/>
  <c r="B587" i="17"/>
  <c r="B579" i="17"/>
  <c r="B571" i="17"/>
  <c r="B563" i="17"/>
  <c r="B555" i="17"/>
  <c r="B547" i="17"/>
  <c r="B539" i="17"/>
  <c r="B531" i="17"/>
  <c r="B523" i="17"/>
  <c r="B515" i="17"/>
  <c r="B507" i="17"/>
  <c r="B499" i="17"/>
  <c r="B491" i="17"/>
  <c r="B483" i="17"/>
  <c r="B475" i="17"/>
  <c r="B467" i="17"/>
  <c r="B459" i="17"/>
  <c r="B451" i="17"/>
  <c r="B443" i="17"/>
  <c r="B435" i="17"/>
  <c r="B427" i="17"/>
  <c r="B419" i="17"/>
  <c r="B411" i="17"/>
  <c r="B403" i="17"/>
  <c r="B395" i="17"/>
  <c r="B387" i="17"/>
  <c r="B379" i="17"/>
  <c r="B371" i="17"/>
  <c r="B363" i="17"/>
  <c r="B355" i="17"/>
  <c r="B347" i="17"/>
  <c r="B339" i="17"/>
  <c r="B331" i="17"/>
  <c r="B323" i="17"/>
  <c r="B315" i="17"/>
  <c r="B307" i="17"/>
  <c r="B299" i="17"/>
  <c r="B291" i="17"/>
  <c r="B283" i="17"/>
  <c r="B275" i="17"/>
  <c r="B267" i="17"/>
  <c r="B259" i="17"/>
  <c r="B251" i="17"/>
  <c r="B243" i="17"/>
  <c r="B235" i="17"/>
  <c r="B227" i="17"/>
  <c r="B219" i="17"/>
  <c r="B211" i="17"/>
  <c r="B991" i="17"/>
  <c r="B959" i="17"/>
  <c r="B927" i="17"/>
  <c r="B895" i="17"/>
  <c r="B863" i="17"/>
  <c r="B831" i="17"/>
  <c r="B799" i="17"/>
  <c r="B767" i="17"/>
  <c r="B735" i="17"/>
  <c r="B722" i="17"/>
  <c r="B714" i="17"/>
  <c r="B706" i="17"/>
  <c r="B698" i="17"/>
  <c r="B690" i="17"/>
  <c r="B682" i="17"/>
  <c r="B674" i="17"/>
  <c r="B666" i="17"/>
  <c r="B658" i="17"/>
  <c r="B650" i="17"/>
  <c r="B642" i="17"/>
  <c r="B634" i="17"/>
  <c r="B626" i="17"/>
  <c r="B618" i="17"/>
  <c r="B610" i="17"/>
  <c r="B602" i="17"/>
  <c r="B594" i="17"/>
  <c r="B586" i="17"/>
  <c r="B578" i="17"/>
  <c r="B570" i="17"/>
  <c r="B562" i="17"/>
  <c r="B554" i="17"/>
  <c r="B546" i="17"/>
  <c r="B538" i="17"/>
  <c r="B530" i="17"/>
  <c r="B522" i="17"/>
  <c r="B514" i="17"/>
  <c r="B506" i="17"/>
  <c r="B498" i="17"/>
  <c r="B490" i="17"/>
  <c r="B482" i="17"/>
  <c r="B474" i="17"/>
  <c r="B466" i="17"/>
  <c r="B458" i="17"/>
  <c r="B450" i="17"/>
  <c r="B442" i="17"/>
  <c r="B434" i="17"/>
  <c r="B426" i="17"/>
  <c r="B418" i="17"/>
  <c r="B410" i="17"/>
  <c r="B402" i="17"/>
  <c r="B394" i="17"/>
  <c r="B386" i="17"/>
  <c r="B378" i="17"/>
  <c r="B370" i="17"/>
  <c r="B362" i="17"/>
  <c r="B354" i="17"/>
  <c r="B346" i="17"/>
  <c r="B338" i="17"/>
  <c r="B330" i="17"/>
  <c r="B322" i="17"/>
  <c r="B314" i="17"/>
  <c r="B306" i="17"/>
  <c r="B298" i="17"/>
  <c r="B290" i="17"/>
  <c r="B282" i="17"/>
  <c r="B274" i="17"/>
  <c r="B266" i="17"/>
  <c r="B258" i="17"/>
  <c r="B250" i="17"/>
  <c r="B242" i="17"/>
  <c r="B234" i="17"/>
  <c r="B226" i="17"/>
  <c r="B218" i="17"/>
  <c r="B210" i="17"/>
  <c r="B984" i="17"/>
  <c r="B952" i="17"/>
  <c r="B920" i="17"/>
  <c r="B888" i="17"/>
  <c r="B856" i="17"/>
  <c r="B824" i="17"/>
  <c r="B792" i="17"/>
  <c r="B760" i="17"/>
  <c r="B729" i="17"/>
  <c r="B721" i="17"/>
  <c r="B713" i="17"/>
  <c r="B705" i="17"/>
  <c r="B697" i="17"/>
  <c r="B689" i="17"/>
  <c r="B681" i="17"/>
  <c r="B673" i="17"/>
  <c r="B665" i="17"/>
  <c r="B657" i="17"/>
  <c r="B649" i="17"/>
  <c r="B641" i="17"/>
  <c r="B633" i="17"/>
  <c r="B625" i="17"/>
  <c r="B617" i="17"/>
  <c r="B609" i="17"/>
  <c r="B601" i="17"/>
  <c r="B593" i="17"/>
  <c r="B585" i="17"/>
  <c r="B577" i="17"/>
  <c r="B569" i="17"/>
  <c r="B561" i="17"/>
  <c r="B553" i="17"/>
  <c r="B545" i="17"/>
  <c r="B537" i="17"/>
  <c r="B529" i="17"/>
  <c r="B521" i="17"/>
  <c r="B513" i="17"/>
  <c r="B505" i="17"/>
  <c r="B497" i="17"/>
  <c r="B489" i="17"/>
  <c r="B481" i="17"/>
  <c r="B473" i="17"/>
  <c r="B465" i="17"/>
  <c r="B457" i="17"/>
  <c r="B449" i="17"/>
  <c r="B441" i="17"/>
  <c r="B433" i="17"/>
  <c r="B425" i="17"/>
  <c r="B417" i="17"/>
  <c r="B409" i="17"/>
  <c r="B401" i="17"/>
  <c r="B393" i="17"/>
  <c r="B385" i="17"/>
  <c r="B377" i="17"/>
  <c r="B369" i="17"/>
  <c r="B361" i="17"/>
  <c r="B353" i="17"/>
  <c r="B345" i="17"/>
  <c r="B337" i="17"/>
  <c r="B329" i="17"/>
  <c r="B321" i="17"/>
  <c r="B313" i="17"/>
  <c r="B305" i="17"/>
  <c r="B297" i="17"/>
  <c r="B289" i="17"/>
  <c r="B281" i="17"/>
  <c r="B273" i="17"/>
  <c r="B265" i="17"/>
  <c r="B257" i="17"/>
  <c r="B249" i="17"/>
  <c r="B241" i="17"/>
  <c r="B233" i="17"/>
  <c r="B225" i="17"/>
  <c r="B217" i="17"/>
  <c r="B983" i="17"/>
  <c r="B951" i="17"/>
  <c r="B919" i="17"/>
  <c r="B887" i="17"/>
  <c r="B855" i="17"/>
  <c r="B823" i="17"/>
  <c r="B791" i="17"/>
  <c r="B759" i="17"/>
  <c r="B728" i="17"/>
  <c r="B720" i="17"/>
  <c r="B712" i="17"/>
  <c r="B704" i="17"/>
  <c r="B696" i="17"/>
  <c r="B688" i="17"/>
  <c r="B680" i="17"/>
  <c r="B672" i="17"/>
  <c r="B664" i="17"/>
  <c r="B656" i="17"/>
  <c r="B648" i="17"/>
  <c r="B640" i="17"/>
  <c r="B632" i="17"/>
  <c r="B624" i="17"/>
  <c r="B616" i="17"/>
  <c r="B608" i="17"/>
  <c r="B600" i="17"/>
  <c r="B592" i="17"/>
  <c r="B584" i="17"/>
  <c r="B576" i="17"/>
  <c r="B568" i="17"/>
  <c r="B560" i="17"/>
  <c r="B552" i="17"/>
  <c r="B544" i="17"/>
  <c r="B536" i="17"/>
  <c r="B528" i="17"/>
  <c r="B520" i="17"/>
  <c r="B512" i="17"/>
  <c r="B504" i="17"/>
  <c r="B496" i="17"/>
  <c r="B488" i="17"/>
  <c r="B480" i="17"/>
  <c r="B472" i="17"/>
  <c r="B464" i="17"/>
  <c r="B456" i="17"/>
  <c r="B448" i="17"/>
  <c r="B440" i="17"/>
  <c r="B432" i="17"/>
  <c r="B424" i="17"/>
  <c r="B416" i="17"/>
  <c r="B408" i="17"/>
  <c r="B400" i="17"/>
  <c r="B392" i="17"/>
  <c r="B384" i="17"/>
  <c r="B376" i="17"/>
  <c r="B368" i="17"/>
  <c r="B360" i="17"/>
  <c r="B352" i="17"/>
  <c r="B344" i="17"/>
  <c r="B336" i="17"/>
  <c r="B328" i="17"/>
  <c r="B320" i="17"/>
  <c r="B312" i="17"/>
  <c r="B304" i="17"/>
  <c r="B296" i="17"/>
  <c r="B288" i="17"/>
  <c r="B280" i="17"/>
  <c r="B272" i="17"/>
  <c r="B264" i="17"/>
  <c r="B256" i="17"/>
  <c r="B248" i="17"/>
  <c r="B240" i="17"/>
  <c r="B232" i="17"/>
  <c r="B224" i="17"/>
  <c r="B216" i="17"/>
  <c r="B976" i="17"/>
  <c r="B944" i="17"/>
  <c r="B912" i="17"/>
  <c r="B880" i="17"/>
  <c r="B848" i="17"/>
  <c r="B816" i="17"/>
  <c r="B784" i="17"/>
  <c r="B752" i="17"/>
  <c r="B727" i="17"/>
  <c r="B719" i="17"/>
  <c r="B711" i="17"/>
  <c r="B703" i="17"/>
  <c r="B695" i="17"/>
  <c r="B687" i="17"/>
  <c r="B679" i="17"/>
  <c r="B671" i="17"/>
  <c r="B663" i="17"/>
  <c r="B655" i="17"/>
  <c r="B647" i="17"/>
  <c r="B639" i="17"/>
  <c r="B631" i="17"/>
  <c r="B623" i="17"/>
  <c r="B615" i="17"/>
  <c r="B607" i="17"/>
  <c r="B599" i="17"/>
  <c r="B591" i="17"/>
  <c r="B583" i="17"/>
  <c r="B575" i="17"/>
  <c r="B567" i="17"/>
  <c r="B559" i="17"/>
  <c r="B551" i="17"/>
  <c r="B543" i="17"/>
  <c r="B535" i="17"/>
  <c r="B527" i="17"/>
  <c r="B519" i="17"/>
  <c r="B511" i="17"/>
  <c r="B503" i="17"/>
  <c r="B495" i="17"/>
  <c r="B487" i="17"/>
  <c r="B479" i="17"/>
  <c r="B471" i="17"/>
  <c r="B463" i="17"/>
  <c r="B455" i="17"/>
  <c r="B447" i="17"/>
  <c r="B439" i="17"/>
  <c r="B431" i="17"/>
  <c r="B423" i="17"/>
  <c r="B415" i="17"/>
  <c r="B407" i="17"/>
  <c r="B399" i="17"/>
  <c r="B391" i="17"/>
  <c r="B383" i="17"/>
  <c r="B375" i="17"/>
  <c r="B367" i="17"/>
  <c r="B359" i="17"/>
  <c r="B351" i="17"/>
  <c r="B343" i="17"/>
  <c r="B335" i="17"/>
  <c r="B327" i="17"/>
  <c r="B319" i="17"/>
  <c r="B311" i="17"/>
  <c r="B303" i="17"/>
  <c r="B295" i="17"/>
  <c r="B287" i="17"/>
  <c r="B279" i="17"/>
  <c r="B271" i="17"/>
  <c r="B263" i="17"/>
  <c r="B255" i="17"/>
  <c r="B247" i="17"/>
  <c r="B239" i="17"/>
  <c r="B231" i="17"/>
  <c r="B223" i="17"/>
  <c r="B215" i="17"/>
  <c r="B975" i="17"/>
  <c r="B943" i="17"/>
  <c r="B911" i="17"/>
  <c r="B879" i="17"/>
  <c r="B847" i="17"/>
  <c r="B815" i="17"/>
  <c r="B783" i="17"/>
  <c r="B751" i="17"/>
  <c r="B726" i="17"/>
  <c r="B718" i="17"/>
  <c r="B710" i="17"/>
  <c r="B702" i="17"/>
  <c r="B694" i="17"/>
  <c r="B686" i="17"/>
  <c r="B678" i="17"/>
  <c r="B670" i="17"/>
  <c r="B662" i="17"/>
  <c r="B654" i="17"/>
  <c r="B646" i="17"/>
  <c r="B638" i="17"/>
  <c r="B630" i="17"/>
  <c r="B622" i="17"/>
  <c r="B614" i="17"/>
  <c r="B606" i="17"/>
  <c r="B598" i="17"/>
  <c r="B590" i="17"/>
  <c r="B582" i="17"/>
  <c r="B574" i="17"/>
  <c r="B566" i="17"/>
  <c r="B558" i="17"/>
  <c r="B550" i="17"/>
  <c r="B542" i="17"/>
  <c r="B534" i="17"/>
  <c r="B526" i="17"/>
  <c r="B518" i="17"/>
  <c r="B510" i="17"/>
  <c r="B502" i="17"/>
  <c r="B494" i="17"/>
  <c r="B486" i="17"/>
  <c r="B478" i="17"/>
  <c r="B470" i="17"/>
  <c r="B462" i="17"/>
  <c r="B454" i="17"/>
  <c r="B446" i="17"/>
  <c r="B438" i="17"/>
  <c r="B430" i="17"/>
  <c r="B422" i="17"/>
  <c r="B414" i="17"/>
  <c r="B406" i="17"/>
  <c r="B398" i="17"/>
  <c r="B390" i="17"/>
  <c r="B382" i="17"/>
  <c r="B374" i="17"/>
  <c r="B366" i="17"/>
  <c r="B358" i="17"/>
  <c r="B350" i="17"/>
  <c r="B342" i="17"/>
  <c r="B334" i="17"/>
  <c r="B326" i="17"/>
  <c r="B318" i="17"/>
  <c r="B310" i="17"/>
  <c r="B302" i="17"/>
  <c r="B294" i="17"/>
  <c r="B286" i="17"/>
  <c r="B278" i="17"/>
  <c r="B270" i="17"/>
  <c r="B262" i="17"/>
  <c r="B254" i="17"/>
  <c r="B246" i="17"/>
  <c r="B238" i="17"/>
  <c r="B230" i="17"/>
  <c r="B222" i="17"/>
  <c r="B214" i="17"/>
  <c r="B1000" i="17"/>
  <c r="B968" i="17"/>
  <c r="B936" i="17"/>
  <c r="B904" i="17"/>
  <c r="B872" i="17"/>
  <c r="B840" i="17"/>
  <c r="B808" i="17"/>
  <c r="B776" i="17"/>
  <c r="B744" i="17"/>
  <c r="B725" i="17"/>
  <c r="B717" i="17"/>
  <c r="B709" i="17"/>
  <c r="B701" i="17"/>
  <c r="B693" i="17"/>
  <c r="B685" i="17"/>
  <c r="B677" i="17"/>
  <c r="B669" i="17"/>
  <c r="B661" i="17"/>
  <c r="B653" i="17"/>
  <c r="B645" i="17"/>
  <c r="B637" i="17"/>
  <c r="B629" i="17"/>
  <c r="B621" i="17"/>
  <c r="B613" i="17"/>
  <c r="B605" i="17"/>
  <c r="B597" i="17"/>
  <c r="B589" i="17"/>
  <c r="B581" i="17"/>
  <c r="B573" i="17"/>
  <c r="B565" i="17"/>
  <c r="B557" i="17"/>
  <c r="B549" i="17"/>
  <c r="B541" i="17"/>
  <c r="B533" i="17"/>
  <c r="B525" i="17"/>
  <c r="B517" i="17"/>
  <c r="B509" i="17"/>
  <c r="B501" i="17"/>
  <c r="B493" i="17"/>
  <c r="B485" i="17"/>
  <c r="B477" i="17"/>
  <c r="B469" i="17"/>
  <c r="B461" i="17"/>
  <c r="B453" i="17"/>
  <c r="B445" i="17"/>
  <c r="B437" i="17"/>
  <c r="B429" i="17"/>
  <c r="B421" i="17"/>
  <c r="B413" i="17"/>
  <c r="B405" i="17"/>
  <c r="B397" i="17"/>
  <c r="B389" i="17"/>
  <c r="B381" i="17"/>
  <c r="B373" i="17"/>
  <c r="B365" i="17"/>
  <c r="B357" i="17"/>
  <c r="B349" i="17"/>
  <c r="B341" i="17"/>
  <c r="B333" i="17"/>
  <c r="B325" i="17"/>
  <c r="B317" i="17"/>
  <c r="B309" i="17"/>
  <c r="B301" i="17"/>
  <c r="B293" i="17"/>
  <c r="B285" i="17"/>
  <c r="B277" i="17"/>
  <c r="B269" i="17"/>
  <c r="B261" i="17"/>
  <c r="B253" i="17"/>
  <c r="B245" i="17"/>
  <c r="B237" i="17"/>
  <c r="B229" i="17"/>
  <c r="B221" i="17"/>
  <c r="B871" i="17"/>
  <c r="B700" i="17"/>
  <c r="B636" i="17"/>
  <c r="B572" i="17"/>
  <c r="B508" i="17"/>
  <c r="B444" i="17"/>
  <c r="B380" i="17"/>
  <c r="B316" i="17"/>
  <c r="B252" i="17"/>
  <c r="B208" i="17"/>
  <c r="B200" i="17"/>
  <c r="B192" i="17"/>
  <c r="B184" i="17"/>
  <c r="B176" i="17"/>
  <c r="B168" i="17"/>
  <c r="B160" i="17"/>
  <c r="B152" i="17"/>
  <c r="B144" i="17"/>
  <c r="B136" i="17"/>
  <c r="B128" i="17"/>
  <c r="B120" i="17"/>
  <c r="B112" i="17"/>
  <c r="B104" i="17"/>
  <c r="B96" i="17"/>
  <c r="B88" i="17"/>
  <c r="B80" i="17"/>
  <c r="B72" i="17"/>
  <c r="B64" i="17"/>
  <c r="B56" i="17"/>
  <c r="B48" i="17"/>
  <c r="B40" i="17"/>
  <c r="B32" i="17"/>
  <c r="B24" i="17"/>
  <c r="B16" i="17"/>
  <c r="B8" i="17"/>
  <c r="B516" i="17"/>
  <c r="B185" i="17"/>
  <c r="B129" i="17"/>
  <c r="B89" i="17"/>
  <c r="B41" i="17"/>
  <c r="B839" i="17"/>
  <c r="B692" i="17"/>
  <c r="B628" i="17"/>
  <c r="B564" i="17"/>
  <c r="B500" i="17"/>
  <c r="B436" i="17"/>
  <c r="B372" i="17"/>
  <c r="B308" i="17"/>
  <c r="B244" i="17"/>
  <c r="B207" i="17"/>
  <c r="B199" i="17"/>
  <c r="B191" i="17"/>
  <c r="B183" i="17"/>
  <c r="B175" i="17"/>
  <c r="B167" i="17"/>
  <c r="B159" i="17"/>
  <c r="B151" i="17"/>
  <c r="B143" i="17"/>
  <c r="B135" i="17"/>
  <c r="B127" i="17"/>
  <c r="B119" i="17"/>
  <c r="B111" i="17"/>
  <c r="B103" i="17"/>
  <c r="B95" i="17"/>
  <c r="B87" i="17"/>
  <c r="B79" i="17"/>
  <c r="B71" i="17"/>
  <c r="B63" i="17"/>
  <c r="B55" i="17"/>
  <c r="B47" i="17"/>
  <c r="B39" i="17"/>
  <c r="B31" i="17"/>
  <c r="B23" i="17"/>
  <c r="B15" i="17"/>
  <c r="B7" i="17"/>
  <c r="B580" i="17"/>
  <c r="B209" i="17"/>
  <c r="B161" i="17"/>
  <c r="B113" i="17"/>
  <c r="B49" i="17"/>
  <c r="B807" i="17"/>
  <c r="B684" i="17"/>
  <c r="B620" i="17"/>
  <c r="B556" i="17"/>
  <c r="B492" i="17"/>
  <c r="B428" i="17"/>
  <c r="B364" i="17"/>
  <c r="B300" i="17"/>
  <c r="B236" i="17"/>
  <c r="B206" i="17"/>
  <c r="B198" i="17"/>
  <c r="B190" i="17"/>
  <c r="B182" i="17"/>
  <c r="B174" i="17"/>
  <c r="B166" i="17"/>
  <c r="B158" i="17"/>
  <c r="B150" i="17"/>
  <c r="B142" i="17"/>
  <c r="B134" i="17"/>
  <c r="B126" i="17"/>
  <c r="B118" i="17"/>
  <c r="B110" i="17"/>
  <c r="B102" i="17"/>
  <c r="B94" i="17"/>
  <c r="B86" i="17"/>
  <c r="B78" i="17"/>
  <c r="B70" i="17"/>
  <c r="B62" i="17"/>
  <c r="B54" i="17"/>
  <c r="B46" i="17"/>
  <c r="B38" i="17"/>
  <c r="B30" i="17"/>
  <c r="B22" i="17"/>
  <c r="B14" i="17"/>
  <c r="B6" i="17"/>
  <c r="B708" i="17"/>
  <c r="B193" i="17"/>
  <c r="B137" i="17"/>
  <c r="B81" i="17"/>
  <c r="B25" i="17"/>
  <c r="B775" i="17"/>
  <c r="B676" i="17"/>
  <c r="B612" i="17"/>
  <c r="B548" i="17"/>
  <c r="B484" i="17"/>
  <c r="B420" i="17"/>
  <c r="B356" i="17"/>
  <c r="B292" i="17"/>
  <c r="B228" i="17"/>
  <c r="B205" i="17"/>
  <c r="B197" i="17"/>
  <c r="B189" i="17"/>
  <c r="B181" i="17"/>
  <c r="B173" i="17"/>
  <c r="B165" i="17"/>
  <c r="B157" i="17"/>
  <c r="B149" i="17"/>
  <c r="B141" i="17"/>
  <c r="B133" i="17"/>
  <c r="B125" i="17"/>
  <c r="B117" i="17"/>
  <c r="B109" i="17"/>
  <c r="B101" i="17"/>
  <c r="B93" i="17"/>
  <c r="B85" i="17"/>
  <c r="B77" i="17"/>
  <c r="B69" i="17"/>
  <c r="B61" i="17"/>
  <c r="B53" i="17"/>
  <c r="B45" i="17"/>
  <c r="B37" i="17"/>
  <c r="B29" i="17"/>
  <c r="B21" i="17"/>
  <c r="B13" i="17"/>
  <c r="B5" i="17"/>
  <c r="B644" i="17"/>
  <c r="B201" i="17"/>
  <c r="B153" i="17"/>
  <c r="B97" i="17"/>
  <c r="B57" i="17"/>
  <c r="B17" i="17"/>
  <c r="B999" i="17"/>
  <c r="B743" i="17"/>
  <c r="B668" i="17"/>
  <c r="B604" i="17"/>
  <c r="B540" i="17"/>
  <c r="B476" i="17"/>
  <c r="B412" i="17"/>
  <c r="B348" i="17"/>
  <c r="B284" i="17"/>
  <c r="B220" i="17"/>
  <c r="B204" i="17"/>
  <c r="B196" i="17"/>
  <c r="B188" i="17"/>
  <c r="B180" i="17"/>
  <c r="B172" i="17"/>
  <c r="B164" i="17"/>
  <c r="B156" i="17"/>
  <c r="B148" i="17"/>
  <c r="B140" i="17"/>
  <c r="B132" i="17"/>
  <c r="B124" i="17"/>
  <c r="B116" i="17"/>
  <c r="B108" i="17"/>
  <c r="B100" i="17"/>
  <c r="B92" i="17"/>
  <c r="B84" i="17"/>
  <c r="B76" i="17"/>
  <c r="B68" i="17"/>
  <c r="B60" i="17"/>
  <c r="B52" i="17"/>
  <c r="B44" i="17"/>
  <c r="B36" i="17"/>
  <c r="B28" i="17"/>
  <c r="B20" i="17"/>
  <c r="B12" i="17"/>
  <c r="B4" i="17"/>
  <c r="B903" i="17"/>
  <c r="B324" i="17"/>
  <c r="B169" i="17"/>
  <c r="B121" i="17"/>
  <c r="B65" i="17"/>
  <c r="B9" i="17"/>
  <c r="B967" i="17"/>
  <c r="B724" i="17"/>
  <c r="B660" i="17"/>
  <c r="B596" i="17"/>
  <c r="B532" i="17"/>
  <c r="B468" i="17"/>
  <c r="B404" i="17"/>
  <c r="B340" i="17"/>
  <c r="B276" i="17"/>
  <c r="B213" i="17"/>
  <c r="B203" i="17"/>
  <c r="B195" i="17"/>
  <c r="B187" i="17"/>
  <c r="B179" i="17"/>
  <c r="B171" i="17"/>
  <c r="B163" i="17"/>
  <c r="B155" i="17"/>
  <c r="B147" i="17"/>
  <c r="B139" i="17"/>
  <c r="B131" i="17"/>
  <c r="B123" i="17"/>
  <c r="B115" i="17"/>
  <c r="B107" i="17"/>
  <c r="B99" i="17"/>
  <c r="B91" i="17"/>
  <c r="B83" i="17"/>
  <c r="B75" i="17"/>
  <c r="B67" i="17"/>
  <c r="B59" i="17"/>
  <c r="B51" i="17"/>
  <c r="B43" i="17"/>
  <c r="B35" i="17"/>
  <c r="B27" i="17"/>
  <c r="B19" i="17"/>
  <c r="B11" i="17"/>
  <c r="B3" i="17"/>
  <c r="B452" i="17"/>
  <c r="B388" i="17"/>
  <c r="B260" i="17"/>
  <c r="B177" i="17"/>
  <c r="B145" i="17"/>
  <c r="B105" i="17"/>
  <c r="B73" i="17"/>
  <c r="B33" i="17"/>
  <c r="B935" i="17"/>
  <c r="B716" i="17"/>
  <c r="B652" i="17"/>
  <c r="B588" i="17"/>
  <c r="B524" i="17"/>
  <c r="B460" i="17"/>
  <c r="B396" i="17"/>
  <c r="B332" i="17"/>
  <c r="B268" i="17"/>
  <c r="B212" i="17"/>
  <c r="B202" i="17"/>
  <c r="B194" i="17"/>
  <c r="B186" i="17"/>
  <c r="B178" i="17"/>
  <c r="B170" i="17"/>
  <c r="B162" i="17"/>
  <c r="B154" i="17"/>
  <c r="B146" i="17"/>
  <c r="B138" i="17"/>
  <c r="B130" i="17"/>
  <c r="B122" i="17"/>
  <c r="B114" i="17"/>
  <c r="B106" i="17"/>
  <c r="B98" i="17"/>
  <c r="B90" i="17"/>
  <c r="B82" i="17"/>
  <c r="B74" i="17"/>
  <c r="B66" i="17"/>
  <c r="B58" i="17"/>
  <c r="B50" i="17"/>
  <c r="B42" i="17"/>
  <c r="B34" i="17"/>
  <c r="B26" i="17"/>
  <c r="B18" i="17"/>
  <c r="B10" i="17"/>
  <c r="E1002" i="17"/>
  <c r="E994" i="17"/>
  <c r="E986" i="17"/>
  <c r="E978" i="17"/>
  <c r="E970" i="17"/>
  <c r="E962" i="17"/>
  <c r="E954" i="17"/>
  <c r="E946" i="17"/>
  <c r="E938" i="17"/>
  <c r="E930" i="17"/>
  <c r="E922" i="17"/>
  <c r="E914" i="17"/>
  <c r="E906" i="17"/>
  <c r="E898" i="17"/>
  <c r="E890" i="17"/>
  <c r="E882" i="17"/>
  <c r="E874" i="17"/>
  <c r="E866" i="17"/>
  <c r="E858" i="17"/>
  <c r="E850" i="17"/>
  <c r="E842" i="17"/>
  <c r="E834" i="17"/>
  <c r="E826" i="17"/>
  <c r="E1001" i="17"/>
  <c r="E993" i="17"/>
  <c r="E985" i="17"/>
  <c r="E977" i="17"/>
  <c r="E969" i="17"/>
  <c r="E961" i="17"/>
  <c r="E953" i="17"/>
  <c r="E945" i="17"/>
  <c r="E937" i="17"/>
  <c r="E929" i="17"/>
  <c r="E921" i="17"/>
  <c r="E913" i="17"/>
  <c r="E905" i="17"/>
  <c r="E897" i="17"/>
  <c r="E889" i="17"/>
  <c r="E881" i="17"/>
  <c r="E873" i="17"/>
  <c r="E865" i="17"/>
  <c r="E857" i="17"/>
  <c r="E849" i="17"/>
  <c r="E841" i="17"/>
  <c r="E833" i="17"/>
  <c r="E999" i="17"/>
  <c r="E991" i="17"/>
  <c r="E983" i="17"/>
  <c r="E975" i="17"/>
  <c r="E967" i="17"/>
  <c r="E959" i="17"/>
  <c r="E951" i="17"/>
  <c r="E943" i="17"/>
  <c r="E935" i="17"/>
  <c r="E927" i="17"/>
  <c r="E919" i="17"/>
  <c r="E911" i="17"/>
  <c r="E903" i="17"/>
  <c r="E895" i="17"/>
  <c r="E887" i="17"/>
  <c r="E879" i="17"/>
  <c r="E871" i="17"/>
  <c r="E863" i="17"/>
  <c r="E855" i="17"/>
  <c r="E847" i="17"/>
  <c r="E839" i="17"/>
  <c r="E831" i="17"/>
  <c r="E998" i="17"/>
  <c r="E990" i="17"/>
  <c r="E982" i="17"/>
  <c r="E974" i="17"/>
  <c r="E966" i="17"/>
  <c r="E958" i="17"/>
  <c r="E950" i="17"/>
  <c r="E942" i="17"/>
  <c r="E934" i="17"/>
  <c r="E926" i="17"/>
  <c r="E918" i="17"/>
  <c r="E910" i="17"/>
  <c r="E902" i="17"/>
  <c r="E894" i="17"/>
  <c r="E886" i="17"/>
  <c r="E878" i="17"/>
  <c r="E870" i="17"/>
  <c r="E862" i="17"/>
  <c r="E854" i="17"/>
  <c r="E846" i="17"/>
  <c r="E838" i="17"/>
  <c r="E830" i="17"/>
  <c r="E997" i="17"/>
  <c r="E989" i="17"/>
  <c r="E981" i="17"/>
  <c r="E973" i="17"/>
  <c r="E965" i="17"/>
  <c r="E957" i="17"/>
  <c r="E949" i="17"/>
  <c r="E941" i="17"/>
  <c r="E933" i="17"/>
  <c r="E925" i="17"/>
  <c r="E917" i="17"/>
  <c r="E909" i="17"/>
  <c r="E901" i="17"/>
  <c r="E893" i="17"/>
  <c r="E885" i="17"/>
  <c r="E877" i="17"/>
  <c r="E869" i="17"/>
  <c r="E861" i="17"/>
  <c r="E853" i="17"/>
  <c r="E845" i="17"/>
  <c r="E837" i="17"/>
  <c r="E829" i="17"/>
  <c r="E996" i="17"/>
  <c r="E988" i="17"/>
  <c r="E980" i="17"/>
  <c r="E972" i="17"/>
  <c r="E964" i="17"/>
  <c r="E956" i="17"/>
  <c r="E948" i="17"/>
  <c r="E940" i="17"/>
  <c r="E932" i="17"/>
  <c r="E924" i="17"/>
  <c r="E916" i="17"/>
  <c r="E908" i="17"/>
  <c r="E900" i="17"/>
  <c r="E892" i="17"/>
  <c r="E884" i="17"/>
  <c r="E876" i="17"/>
  <c r="E868" i="17"/>
  <c r="E860" i="17"/>
  <c r="E852" i="17"/>
  <c r="E844" i="17"/>
  <c r="E836" i="17"/>
  <c r="E828" i="17"/>
  <c r="E992" i="17"/>
  <c r="E960" i="17"/>
  <c r="E928" i="17"/>
  <c r="E896" i="17"/>
  <c r="E864" i="17"/>
  <c r="E832" i="17"/>
  <c r="E819" i="17"/>
  <c r="E811" i="17"/>
  <c r="E803" i="17"/>
  <c r="E795" i="17"/>
  <c r="E787" i="17"/>
  <c r="E779" i="17"/>
  <c r="E771" i="17"/>
  <c r="E763" i="17"/>
  <c r="E755" i="17"/>
  <c r="E747" i="17"/>
  <c r="E739" i="17"/>
  <c r="E731" i="17"/>
  <c r="E723" i="17"/>
  <c r="E715" i="17"/>
  <c r="E707" i="17"/>
  <c r="E699" i="17"/>
  <c r="E691" i="17"/>
  <c r="E683" i="17"/>
  <c r="E675" i="17"/>
  <c r="E667" i="17"/>
  <c r="E659" i="17"/>
  <c r="E651" i="17"/>
  <c r="E643" i="17"/>
  <c r="E635" i="17"/>
  <c r="E627" i="17"/>
  <c r="E619" i="17"/>
  <c r="E611" i="17"/>
  <c r="E603" i="17"/>
  <c r="E595" i="17"/>
  <c r="E587" i="17"/>
  <c r="E579" i="17"/>
  <c r="E571" i="17"/>
  <c r="E563" i="17"/>
  <c r="E555" i="17"/>
  <c r="E547" i="17"/>
  <c r="E539" i="17"/>
  <c r="E531" i="17"/>
  <c r="E523" i="17"/>
  <c r="E515" i="17"/>
  <c r="E507" i="17"/>
  <c r="E499" i="17"/>
  <c r="E491" i="17"/>
  <c r="E483" i="17"/>
  <c r="E475" i="17"/>
  <c r="E467" i="17"/>
  <c r="E459" i="17"/>
  <c r="E451" i="17"/>
  <c r="E443" i="17"/>
  <c r="E435" i="17"/>
  <c r="E427" i="17"/>
  <c r="E419" i="17"/>
  <c r="E411" i="17"/>
  <c r="E403" i="17"/>
  <c r="E395" i="17"/>
  <c r="E387" i="17"/>
  <c r="E379" i="17"/>
  <c r="E371" i="17"/>
  <c r="E363" i="17"/>
  <c r="E355" i="17"/>
  <c r="E347" i="17"/>
  <c r="E339" i="17"/>
  <c r="E331" i="17"/>
  <c r="E323" i="17"/>
  <c r="E315" i="17"/>
  <c r="E987" i="17"/>
  <c r="E955" i="17"/>
  <c r="E923" i="17"/>
  <c r="E891" i="17"/>
  <c r="E859" i="17"/>
  <c r="E827" i="17"/>
  <c r="E818" i="17"/>
  <c r="E810" i="17"/>
  <c r="E802" i="17"/>
  <c r="E794" i="17"/>
  <c r="E786" i="17"/>
  <c r="E778" i="17"/>
  <c r="E770" i="17"/>
  <c r="E762" i="17"/>
  <c r="E754" i="17"/>
  <c r="E746" i="17"/>
  <c r="E738" i="17"/>
  <c r="E730" i="17"/>
  <c r="E722" i="17"/>
  <c r="E714" i="17"/>
  <c r="E706" i="17"/>
  <c r="E698" i="17"/>
  <c r="E690" i="17"/>
  <c r="E682" i="17"/>
  <c r="E674" i="17"/>
  <c r="E666" i="17"/>
  <c r="E658" i="17"/>
  <c r="E650" i="17"/>
  <c r="E642" i="17"/>
  <c r="E634" i="17"/>
  <c r="E626" i="17"/>
  <c r="E618" i="17"/>
  <c r="E610" i="17"/>
  <c r="E602" i="17"/>
  <c r="E594" i="17"/>
  <c r="E586" i="17"/>
  <c r="E578" i="17"/>
  <c r="E570" i="17"/>
  <c r="E562" i="17"/>
  <c r="E554" i="17"/>
  <c r="E546" i="17"/>
  <c r="E538" i="17"/>
  <c r="E530" i="17"/>
  <c r="E522" i="17"/>
  <c r="E514" i="17"/>
  <c r="E506" i="17"/>
  <c r="E498" i="17"/>
  <c r="E490" i="17"/>
  <c r="E482" i="17"/>
  <c r="E474" i="17"/>
  <c r="E466" i="17"/>
  <c r="E458" i="17"/>
  <c r="E450" i="17"/>
  <c r="E442" i="17"/>
  <c r="E434" i="17"/>
  <c r="E426" i="17"/>
  <c r="E418" i="17"/>
  <c r="E410" i="17"/>
  <c r="E402" i="17"/>
  <c r="E394" i="17"/>
  <c r="E386" i="17"/>
  <c r="E378" i="17"/>
  <c r="E370" i="17"/>
  <c r="E362" i="17"/>
  <c r="E354" i="17"/>
  <c r="E346" i="17"/>
  <c r="E338" i="17"/>
  <c r="E330" i="17"/>
  <c r="E322" i="17"/>
  <c r="E984" i="17"/>
  <c r="E952" i="17"/>
  <c r="E920" i="17"/>
  <c r="E888" i="17"/>
  <c r="E856" i="17"/>
  <c r="E825" i="17"/>
  <c r="E817" i="17"/>
  <c r="E809" i="17"/>
  <c r="E801" i="17"/>
  <c r="E793" i="17"/>
  <c r="E785" i="17"/>
  <c r="E777" i="17"/>
  <c r="E769" i="17"/>
  <c r="E761" i="17"/>
  <c r="E753" i="17"/>
  <c r="E745" i="17"/>
  <c r="E737" i="17"/>
  <c r="E729" i="17"/>
  <c r="E721" i="17"/>
  <c r="E713" i="17"/>
  <c r="E705" i="17"/>
  <c r="E697" i="17"/>
  <c r="E689" i="17"/>
  <c r="E681" i="17"/>
  <c r="E673" i="17"/>
  <c r="E665" i="17"/>
  <c r="E657" i="17"/>
  <c r="E649" i="17"/>
  <c r="E641" i="17"/>
  <c r="E633" i="17"/>
  <c r="E625" i="17"/>
  <c r="E617" i="17"/>
  <c r="E609" i="17"/>
  <c r="E601" i="17"/>
  <c r="E593" i="17"/>
  <c r="E585" i="17"/>
  <c r="E577" i="17"/>
  <c r="E569" i="17"/>
  <c r="E561" i="17"/>
  <c r="E553" i="17"/>
  <c r="E545" i="17"/>
  <c r="E537" i="17"/>
  <c r="E529" i="17"/>
  <c r="E521" i="17"/>
  <c r="E513" i="17"/>
  <c r="E505" i="17"/>
  <c r="E497" i="17"/>
  <c r="E489" i="17"/>
  <c r="E481" i="17"/>
  <c r="E473" i="17"/>
  <c r="E465" i="17"/>
  <c r="E457" i="17"/>
  <c r="E449" i="17"/>
  <c r="E441" i="17"/>
  <c r="E433" i="17"/>
  <c r="E425" i="17"/>
  <c r="E417" i="17"/>
  <c r="E409" i="17"/>
  <c r="E401" i="17"/>
  <c r="E393" i="17"/>
  <c r="E385" i="17"/>
  <c r="E377" i="17"/>
  <c r="E369" i="17"/>
  <c r="E361" i="17"/>
  <c r="E353" i="17"/>
  <c r="E345" i="17"/>
  <c r="E337" i="17"/>
  <c r="E329" i="17"/>
  <c r="E321" i="17"/>
  <c r="E979" i="17"/>
  <c r="E947" i="17"/>
  <c r="E915" i="17"/>
  <c r="E883" i="17"/>
  <c r="E851" i="17"/>
  <c r="E824" i="17"/>
  <c r="E816" i="17"/>
  <c r="E808" i="17"/>
  <c r="E800" i="17"/>
  <c r="E792" i="17"/>
  <c r="E784" i="17"/>
  <c r="E776" i="17"/>
  <c r="E768" i="17"/>
  <c r="E760" i="17"/>
  <c r="E752" i="17"/>
  <c r="E744" i="17"/>
  <c r="E736" i="17"/>
  <c r="E728" i="17"/>
  <c r="E720" i="17"/>
  <c r="E712" i="17"/>
  <c r="E704" i="17"/>
  <c r="E696" i="17"/>
  <c r="E688" i="17"/>
  <c r="E680" i="17"/>
  <c r="E672" i="17"/>
  <c r="E664" i="17"/>
  <c r="E656" i="17"/>
  <c r="E648" i="17"/>
  <c r="E640" i="17"/>
  <c r="E632" i="17"/>
  <c r="E624" i="17"/>
  <c r="E616" i="17"/>
  <c r="E608" i="17"/>
  <c r="E600" i="17"/>
  <c r="E592" i="17"/>
  <c r="E584" i="17"/>
  <c r="E576" i="17"/>
  <c r="E568" i="17"/>
  <c r="E560" i="17"/>
  <c r="E552" i="17"/>
  <c r="E544" i="17"/>
  <c r="E536" i="17"/>
  <c r="E528" i="17"/>
  <c r="E520" i="17"/>
  <c r="E512" i="17"/>
  <c r="E504" i="17"/>
  <c r="E496" i="17"/>
  <c r="E488" i="17"/>
  <c r="E480" i="17"/>
  <c r="E472" i="17"/>
  <c r="E464" i="17"/>
  <c r="E456" i="17"/>
  <c r="E448" i="17"/>
  <c r="E440" i="17"/>
  <c r="E432" i="17"/>
  <c r="E424" i="17"/>
  <c r="E416" i="17"/>
  <c r="E408" i="17"/>
  <c r="E400" i="17"/>
  <c r="E392" i="17"/>
  <c r="E384" i="17"/>
  <c r="E376" i="17"/>
  <c r="E368" i="17"/>
  <c r="E360" i="17"/>
  <c r="E352" i="17"/>
  <c r="E344" i="17"/>
  <c r="E336" i="17"/>
  <c r="E328" i="17"/>
  <c r="E320" i="17"/>
  <c r="E312" i="17"/>
  <c r="E976" i="17"/>
  <c r="E944" i="17"/>
  <c r="E912" i="17"/>
  <c r="E880" i="17"/>
  <c r="E848" i="17"/>
  <c r="E823" i="17"/>
  <c r="E815" i="17"/>
  <c r="E807" i="17"/>
  <c r="E799" i="17"/>
  <c r="E791" i="17"/>
  <c r="E783" i="17"/>
  <c r="E775" i="17"/>
  <c r="E767" i="17"/>
  <c r="E759" i="17"/>
  <c r="E751" i="17"/>
  <c r="E743" i="17"/>
  <c r="E735" i="17"/>
  <c r="E727" i="17"/>
  <c r="E719" i="17"/>
  <c r="E711" i="17"/>
  <c r="E703" i="17"/>
  <c r="E695" i="17"/>
  <c r="E687" i="17"/>
  <c r="E679" i="17"/>
  <c r="E671" i="17"/>
  <c r="E663" i="17"/>
  <c r="E655" i="17"/>
  <c r="E647" i="17"/>
  <c r="E639" i="17"/>
  <c r="E631" i="17"/>
  <c r="E623" i="17"/>
  <c r="E615" i="17"/>
  <c r="E607" i="17"/>
  <c r="E599" i="17"/>
  <c r="E591" i="17"/>
  <c r="E583" i="17"/>
  <c r="E575" i="17"/>
  <c r="E567" i="17"/>
  <c r="E559" i="17"/>
  <c r="E551" i="17"/>
  <c r="E543" i="17"/>
  <c r="E535" i="17"/>
  <c r="E527" i="17"/>
  <c r="E519" i="17"/>
  <c r="E511" i="17"/>
  <c r="E503" i="17"/>
  <c r="E495" i="17"/>
  <c r="E487" i="17"/>
  <c r="E479" i="17"/>
  <c r="E471" i="17"/>
  <c r="E463" i="17"/>
  <c r="E455" i="17"/>
  <c r="E447" i="17"/>
  <c r="E439" i="17"/>
  <c r="E431" i="17"/>
  <c r="E423" i="17"/>
  <c r="E415" i="17"/>
  <c r="E407" i="17"/>
  <c r="E399" i="17"/>
  <c r="E391" i="17"/>
  <c r="E383" i="17"/>
  <c r="E375" i="17"/>
  <c r="E367" i="17"/>
  <c r="E359" i="17"/>
  <c r="E351" i="17"/>
  <c r="E343" i="17"/>
  <c r="E335" i="17"/>
  <c r="E327" i="17"/>
  <c r="E319" i="17"/>
  <c r="E971" i="17"/>
  <c r="E939" i="17"/>
  <c r="E907" i="17"/>
  <c r="E875" i="17"/>
  <c r="E843" i="17"/>
  <c r="E822" i="17"/>
  <c r="E814" i="17"/>
  <c r="E806" i="17"/>
  <c r="E798" i="17"/>
  <c r="E790" i="17"/>
  <c r="E782" i="17"/>
  <c r="E774" i="17"/>
  <c r="E766" i="17"/>
  <c r="E758" i="17"/>
  <c r="E750" i="17"/>
  <c r="E742" i="17"/>
  <c r="E734" i="17"/>
  <c r="E726" i="17"/>
  <c r="E718" i="17"/>
  <c r="E710" i="17"/>
  <c r="E702" i="17"/>
  <c r="E694" i="17"/>
  <c r="E686" i="17"/>
  <c r="E678" i="17"/>
  <c r="E670" i="17"/>
  <c r="E662" i="17"/>
  <c r="E654" i="17"/>
  <c r="E646" i="17"/>
  <c r="E638" i="17"/>
  <c r="E630" i="17"/>
  <c r="E622" i="17"/>
  <c r="E614" i="17"/>
  <c r="E606" i="17"/>
  <c r="E598" i="17"/>
  <c r="E590" i="17"/>
  <c r="E582" i="17"/>
  <c r="E574" i="17"/>
  <c r="E566" i="17"/>
  <c r="E558" i="17"/>
  <c r="E550" i="17"/>
  <c r="E542" i="17"/>
  <c r="E534" i="17"/>
  <c r="E526" i="17"/>
  <c r="E518" i="17"/>
  <c r="E510" i="17"/>
  <c r="E502" i="17"/>
  <c r="E494" i="17"/>
  <c r="E486" i="17"/>
  <c r="E478" i="17"/>
  <c r="E470" i="17"/>
  <c r="E462" i="17"/>
  <c r="E454" i="17"/>
  <c r="E446" i="17"/>
  <c r="E438" i="17"/>
  <c r="E1000" i="17"/>
  <c r="E968" i="17"/>
  <c r="E936" i="17"/>
  <c r="E904" i="17"/>
  <c r="E872" i="17"/>
  <c r="E840" i="17"/>
  <c r="E821" i="17"/>
  <c r="E813" i="17"/>
  <c r="E805" i="17"/>
  <c r="E797" i="17"/>
  <c r="E789" i="17"/>
  <c r="E781" i="17"/>
  <c r="E773" i="17"/>
  <c r="E765" i="17"/>
  <c r="E757" i="17"/>
  <c r="E749" i="17"/>
  <c r="E741" i="17"/>
  <c r="E733" i="17"/>
  <c r="E725" i="17"/>
  <c r="E717" i="17"/>
  <c r="E709" i="17"/>
  <c r="E701" i="17"/>
  <c r="E693" i="17"/>
  <c r="E685" i="17"/>
  <c r="E677" i="17"/>
  <c r="E669" i="17"/>
  <c r="E661" i="17"/>
  <c r="E653" i="17"/>
  <c r="E645" i="17"/>
  <c r="E637" i="17"/>
  <c r="E629" i="17"/>
  <c r="E621" i="17"/>
  <c r="E613" i="17"/>
  <c r="E605" i="17"/>
  <c r="E597" i="17"/>
  <c r="E589" i="17"/>
  <c r="E581" i="17"/>
  <c r="E573" i="17"/>
  <c r="E565" i="17"/>
  <c r="E557" i="17"/>
  <c r="E549" i="17"/>
  <c r="E541" i="17"/>
  <c r="E533" i="17"/>
  <c r="E525" i="17"/>
  <c r="E517" i="17"/>
  <c r="E509" i="17"/>
  <c r="E501" i="17"/>
  <c r="E493" i="17"/>
  <c r="E485" i="17"/>
  <c r="E477" i="17"/>
  <c r="E469" i="17"/>
  <c r="E461" i="17"/>
  <c r="E453" i="17"/>
  <c r="E445" i="17"/>
  <c r="E437" i="17"/>
  <c r="E429" i="17"/>
  <c r="E421" i="17"/>
  <c r="E413" i="17"/>
  <c r="E405" i="17"/>
  <c r="E397" i="17"/>
  <c r="E389" i="17"/>
  <c r="E381" i="17"/>
  <c r="E373" i="17"/>
  <c r="E365" i="17"/>
  <c r="E357" i="17"/>
  <c r="E349" i="17"/>
  <c r="E341" i="17"/>
  <c r="E333" i="17"/>
  <c r="E325" i="17"/>
  <c r="E317" i="17"/>
  <c r="E963" i="17"/>
  <c r="E796" i="17"/>
  <c r="E732" i="17"/>
  <c r="E668" i="17"/>
  <c r="E604" i="17"/>
  <c r="E540" i="17"/>
  <c r="E476" i="17"/>
  <c r="E422" i="17"/>
  <c r="E390" i="17"/>
  <c r="E358" i="17"/>
  <c r="E326" i="17"/>
  <c r="E309" i="17"/>
  <c r="E301" i="17"/>
  <c r="E293" i="17"/>
  <c r="E285" i="17"/>
  <c r="E277" i="17"/>
  <c r="E269" i="17"/>
  <c r="E261" i="17"/>
  <c r="E253" i="17"/>
  <c r="E245" i="17"/>
  <c r="E237" i="17"/>
  <c r="E229" i="17"/>
  <c r="E221" i="17"/>
  <c r="E213" i="17"/>
  <c r="E205" i="17"/>
  <c r="E197" i="17"/>
  <c r="E189" i="17"/>
  <c r="E181" i="17"/>
  <c r="E173" i="17"/>
  <c r="E165" i="17"/>
  <c r="E157" i="17"/>
  <c r="E149" i="17"/>
  <c r="E141" i="17"/>
  <c r="E133" i="17"/>
  <c r="E125" i="17"/>
  <c r="E117" i="17"/>
  <c r="E109" i="17"/>
  <c r="E101" i="17"/>
  <c r="E93" i="17"/>
  <c r="E85" i="17"/>
  <c r="E77" i="17"/>
  <c r="E69" i="17"/>
  <c r="E61" i="17"/>
  <c r="E53" i="17"/>
  <c r="E45" i="17"/>
  <c r="E37" i="17"/>
  <c r="E29" i="17"/>
  <c r="E21" i="17"/>
  <c r="E13" i="17"/>
  <c r="E5" i="17"/>
  <c r="E931" i="17"/>
  <c r="E788" i="17"/>
  <c r="E724" i="17"/>
  <c r="E660" i="17"/>
  <c r="E596" i="17"/>
  <c r="E532" i="17"/>
  <c r="E468" i="17"/>
  <c r="E420" i="17"/>
  <c r="E388" i="17"/>
  <c r="E356" i="17"/>
  <c r="E324" i="17"/>
  <c r="E308" i="17"/>
  <c r="E300" i="17"/>
  <c r="E292" i="17"/>
  <c r="E284" i="17"/>
  <c r="E276" i="17"/>
  <c r="E268" i="17"/>
  <c r="E260" i="17"/>
  <c r="E252" i="17"/>
  <c r="E244" i="17"/>
  <c r="E236" i="17"/>
  <c r="E228" i="17"/>
  <c r="E220" i="17"/>
  <c r="E212" i="17"/>
  <c r="E204" i="17"/>
  <c r="E196" i="17"/>
  <c r="E188" i="17"/>
  <c r="E180" i="17"/>
  <c r="E172" i="17"/>
  <c r="E164" i="17"/>
  <c r="E156" i="17"/>
  <c r="E148" i="17"/>
  <c r="E140" i="17"/>
  <c r="E132" i="17"/>
  <c r="E124" i="17"/>
  <c r="E116" i="17"/>
  <c r="E108" i="17"/>
  <c r="E100" i="17"/>
  <c r="E92" i="17"/>
  <c r="E84" i="17"/>
  <c r="E76" i="17"/>
  <c r="E68" i="17"/>
  <c r="E60" i="17"/>
  <c r="E52" i="17"/>
  <c r="E44" i="17"/>
  <c r="E36" i="17"/>
  <c r="E28" i="17"/>
  <c r="E20" i="17"/>
  <c r="E12" i="17"/>
  <c r="E4" i="17"/>
  <c r="E899" i="17"/>
  <c r="E780" i="17"/>
  <c r="E716" i="17"/>
  <c r="E652" i="17"/>
  <c r="E588" i="17"/>
  <c r="E524" i="17"/>
  <c r="E460" i="17"/>
  <c r="E414" i="17"/>
  <c r="E382" i="17"/>
  <c r="E350" i="17"/>
  <c r="E318" i="17"/>
  <c r="E307" i="17"/>
  <c r="E299" i="17"/>
  <c r="E291" i="17"/>
  <c r="E283" i="17"/>
  <c r="E275" i="17"/>
  <c r="E267" i="17"/>
  <c r="E259" i="17"/>
  <c r="E251" i="17"/>
  <c r="E243" i="17"/>
  <c r="E235" i="17"/>
  <c r="E227" i="17"/>
  <c r="E219" i="17"/>
  <c r="E211" i="17"/>
  <c r="E203" i="17"/>
  <c r="E195" i="17"/>
  <c r="E187" i="17"/>
  <c r="E179" i="17"/>
  <c r="E171" i="17"/>
  <c r="E163" i="17"/>
  <c r="E155" i="17"/>
  <c r="E147" i="17"/>
  <c r="E139" i="17"/>
  <c r="E131" i="17"/>
  <c r="E123" i="17"/>
  <c r="E115" i="17"/>
  <c r="E107" i="17"/>
  <c r="E99" i="17"/>
  <c r="E91" i="17"/>
  <c r="E83" i="17"/>
  <c r="E75" i="17"/>
  <c r="E67" i="17"/>
  <c r="E59" i="17"/>
  <c r="E51" i="17"/>
  <c r="E43" i="17"/>
  <c r="E35" i="17"/>
  <c r="E27" i="17"/>
  <c r="E19" i="17"/>
  <c r="E11" i="17"/>
  <c r="E3" i="17"/>
  <c r="E867" i="17"/>
  <c r="E772" i="17"/>
  <c r="E708" i="17"/>
  <c r="E644" i="17"/>
  <c r="E580" i="17"/>
  <c r="E516" i="17"/>
  <c r="E452" i="17"/>
  <c r="E412" i="17"/>
  <c r="E380" i="17"/>
  <c r="E348" i="17"/>
  <c r="E316" i="17"/>
  <c r="E306" i="17"/>
  <c r="E298" i="17"/>
  <c r="E290" i="17"/>
  <c r="E282" i="17"/>
  <c r="E274" i="17"/>
  <c r="E266" i="17"/>
  <c r="E258" i="17"/>
  <c r="E250" i="17"/>
  <c r="E242" i="17"/>
  <c r="E234" i="17"/>
  <c r="E226" i="17"/>
  <c r="E218" i="17"/>
  <c r="E210" i="17"/>
  <c r="E202" i="17"/>
  <c r="E194" i="17"/>
  <c r="E186" i="17"/>
  <c r="E178" i="17"/>
  <c r="E170" i="17"/>
  <c r="E162" i="17"/>
  <c r="E154" i="17"/>
  <c r="E146" i="17"/>
  <c r="E138" i="17"/>
  <c r="E130" i="17"/>
  <c r="E122" i="17"/>
  <c r="E114" i="17"/>
  <c r="E106" i="17"/>
  <c r="E98" i="17"/>
  <c r="E90" i="17"/>
  <c r="E82" i="17"/>
  <c r="E74" i="17"/>
  <c r="E66" i="17"/>
  <c r="E58" i="17"/>
  <c r="E50" i="17"/>
  <c r="E42" i="17"/>
  <c r="E34" i="17"/>
  <c r="E26" i="17"/>
  <c r="E18" i="17"/>
  <c r="E10" i="17"/>
  <c r="E835" i="17"/>
  <c r="E764" i="17"/>
  <c r="E700" i="17"/>
  <c r="E636" i="17"/>
  <c r="E572" i="17"/>
  <c r="E508" i="17"/>
  <c r="E444" i="17"/>
  <c r="E406" i="17"/>
  <c r="E374" i="17"/>
  <c r="E342" i="17"/>
  <c r="E314" i="17"/>
  <c r="E305" i="17"/>
  <c r="E297" i="17"/>
  <c r="E289" i="17"/>
  <c r="E281" i="17"/>
  <c r="E273" i="17"/>
  <c r="E265" i="17"/>
  <c r="E257" i="17"/>
  <c r="E249" i="17"/>
  <c r="E241" i="17"/>
  <c r="E233" i="17"/>
  <c r="E225" i="17"/>
  <c r="E217" i="17"/>
  <c r="E209" i="17"/>
  <c r="E201" i="17"/>
  <c r="E193" i="17"/>
  <c r="E185" i="17"/>
  <c r="E177" i="17"/>
  <c r="E169" i="17"/>
  <c r="E161" i="17"/>
  <c r="E153" i="17"/>
  <c r="E145" i="17"/>
  <c r="E137" i="17"/>
  <c r="E129" i="17"/>
  <c r="E121" i="17"/>
  <c r="E113" i="17"/>
  <c r="E105" i="17"/>
  <c r="E97" i="17"/>
  <c r="E89" i="17"/>
  <c r="E81" i="17"/>
  <c r="E73" i="17"/>
  <c r="E65" i="17"/>
  <c r="E57" i="17"/>
  <c r="E49" i="17"/>
  <c r="E41" i="17"/>
  <c r="E33" i="17"/>
  <c r="E25" i="17"/>
  <c r="E17" i="17"/>
  <c r="E9" i="17"/>
  <c r="E820" i="17"/>
  <c r="E756" i="17"/>
  <c r="E692" i="17"/>
  <c r="E628" i="17"/>
  <c r="E564" i="17"/>
  <c r="E500" i="17"/>
  <c r="E436" i="17"/>
  <c r="E404" i="17"/>
  <c r="E372" i="17"/>
  <c r="E340" i="17"/>
  <c r="E313" i="17"/>
  <c r="E304" i="17"/>
  <c r="E296" i="17"/>
  <c r="E288" i="17"/>
  <c r="E280" i="17"/>
  <c r="E272" i="17"/>
  <c r="E264" i="17"/>
  <c r="E256" i="17"/>
  <c r="E248" i="17"/>
  <c r="E240" i="17"/>
  <c r="E232" i="17"/>
  <c r="E224" i="17"/>
  <c r="E216" i="17"/>
  <c r="E208" i="17"/>
  <c r="E200" i="17"/>
  <c r="E192" i="17"/>
  <c r="E184" i="17"/>
  <c r="E176" i="17"/>
  <c r="E168" i="17"/>
  <c r="E160" i="17"/>
  <c r="E152" i="17"/>
  <c r="E144" i="17"/>
  <c r="E136" i="17"/>
  <c r="E128" i="17"/>
  <c r="E120" i="17"/>
  <c r="E112" i="17"/>
  <c r="E104" i="17"/>
  <c r="E96" i="17"/>
  <c r="E88" i="17"/>
  <c r="E80" i="17"/>
  <c r="E72" i="17"/>
  <c r="E64" i="17"/>
  <c r="E56" i="17"/>
  <c r="E48" i="17"/>
  <c r="E40" i="17"/>
  <c r="E32" i="17"/>
  <c r="E24" i="17"/>
  <c r="E16" i="17"/>
  <c r="E8" i="17"/>
  <c r="E684" i="17"/>
  <c r="E430" i="17"/>
  <c r="E311" i="17"/>
  <c r="E279" i="17"/>
  <c r="E247" i="17"/>
  <c r="E215" i="17"/>
  <c r="E183" i="17"/>
  <c r="E151" i="17"/>
  <c r="E119" i="17"/>
  <c r="E87" i="17"/>
  <c r="E55" i="17"/>
  <c r="E23" i="17"/>
  <c r="E676" i="17"/>
  <c r="E428" i="17"/>
  <c r="E310" i="17"/>
  <c r="E278" i="17"/>
  <c r="E246" i="17"/>
  <c r="E214" i="17"/>
  <c r="E182" i="17"/>
  <c r="E150" i="17"/>
  <c r="E118" i="17"/>
  <c r="E86" i="17"/>
  <c r="E54" i="17"/>
  <c r="E22" i="17"/>
  <c r="E620" i="17"/>
  <c r="E398" i="17"/>
  <c r="E303" i="17"/>
  <c r="E271" i="17"/>
  <c r="E239" i="17"/>
  <c r="E207" i="17"/>
  <c r="E175" i="17"/>
  <c r="E143" i="17"/>
  <c r="E111" i="17"/>
  <c r="E79" i="17"/>
  <c r="E47" i="17"/>
  <c r="E15" i="17"/>
  <c r="E995" i="17"/>
  <c r="E612" i="17"/>
  <c r="E396" i="17"/>
  <c r="E302" i="17"/>
  <c r="E270" i="17"/>
  <c r="E238" i="17"/>
  <c r="E206" i="17"/>
  <c r="E174" i="17"/>
  <c r="E142" i="17"/>
  <c r="E110" i="17"/>
  <c r="E78" i="17"/>
  <c r="E46" i="17"/>
  <c r="E14" i="17"/>
  <c r="E812" i="17"/>
  <c r="E556" i="17"/>
  <c r="E366" i="17"/>
  <c r="E295" i="17"/>
  <c r="E263" i="17"/>
  <c r="E231" i="17"/>
  <c r="E199" i="17"/>
  <c r="E167" i="17"/>
  <c r="E135" i="17"/>
  <c r="E103" i="17"/>
  <c r="E71" i="17"/>
  <c r="E39" i="17"/>
  <c r="E7" i="17"/>
  <c r="E804" i="17"/>
  <c r="E548" i="17"/>
  <c r="E364" i="17"/>
  <c r="E294" i="17"/>
  <c r="E262" i="17"/>
  <c r="E230" i="17"/>
  <c r="E198" i="17"/>
  <c r="E166" i="17"/>
  <c r="E134" i="17"/>
  <c r="E102" i="17"/>
  <c r="E70" i="17"/>
  <c r="E38" i="17"/>
  <c r="E6" i="17"/>
  <c r="E748" i="17"/>
  <c r="E492" i="17"/>
  <c r="E334" i="17"/>
  <c r="E287" i="17"/>
  <c r="E255" i="17"/>
  <c r="E223" i="17"/>
  <c r="E191" i="17"/>
  <c r="E159" i="17"/>
  <c r="E127" i="17"/>
  <c r="E95" i="17"/>
  <c r="E63" i="17"/>
  <c r="E31" i="17"/>
  <c r="E740" i="17"/>
  <c r="E126" i="17"/>
  <c r="E484" i="17"/>
  <c r="E94" i="17"/>
  <c r="E332" i="17"/>
  <c r="E62" i="17"/>
  <c r="E286" i="17"/>
  <c r="E30" i="17"/>
  <c r="E254" i="17"/>
  <c r="E222" i="17"/>
  <c r="E158" i="17"/>
  <c r="E190" i="17"/>
  <c r="H1002" i="17"/>
  <c r="H994" i="17"/>
  <c r="H986" i="17"/>
  <c r="H978" i="17"/>
  <c r="H970" i="17"/>
  <c r="H962" i="17"/>
  <c r="H954" i="17"/>
  <c r="H946" i="17"/>
  <c r="H938" i="17"/>
  <c r="H930" i="17"/>
  <c r="H922" i="17"/>
  <c r="H914" i="17"/>
  <c r="H906" i="17"/>
  <c r="H898" i="17"/>
  <c r="H890" i="17"/>
  <c r="H882" i="17"/>
  <c r="H874" i="17"/>
  <c r="H866" i="17"/>
  <c r="H858" i="17"/>
  <c r="H850" i="17"/>
  <c r="H842" i="17"/>
  <c r="H834" i="17"/>
  <c r="H826" i="17"/>
  <c r="H818" i="17"/>
  <c r="H810" i="17"/>
  <c r="H802" i="17"/>
  <c r="H794" i="17"/>
  <c r="H786" i="17"/>
  <c r="H778" i="17"/>
  <c r="H770" i="17"/>
  <c r="H762" i="17"/>
  <c r="H754" i="17"/>
  <c r="H746" i="17"/>
  <c r="H738" i="17"/>
  <c r="H730" i="17"/>
  <c r="H722" i="17"/>
  <c r="H714" i="17"/>
  <c r="H706" i="17"/>
  <c r="H698" i="17"/>
  <c r="H690" i="17"/>
  <c r="H682" i="17"/>
  <c r="H674" i="17"/>
  <c r="H666" i="17"/>
  <c r="H658" i="17"/>
  <c r="H650" i="17"/>
  <c r="H642" i="17"/>
  <c r="H634" i="17"/>
  <c r="H626" i="17"/>
  <c r="H618" i="17"/>
  <c r="H610" i="17"/>
  <c r="H602" i="17"/>
  <c r="H594" i="17"/>
  <c r="H586" i="17"/>
  <c r="H578" i="17"/>
  <c r="H570" i="17"/>
  <c r="H562" i="17"/>
  <c r="H554" i="17"/>
  <c r="H546" i="17"/>
  <c r="H538" i="17"/>
  <c r="H530" i="17"/>
  <c r="H522" i="17"/>
  <c r="H514" i="17"/>
  <c r="H506" i="17"/>
  <c r="H498" i="17"/>
  <c r="H490" i="17"/>
  <c r="H482" i="17"/>
  <c r="H474" i="17"/>
  <c r="H466" i="17"/>
  <c r="H458" i="17"/>
  <c r="H450" i="17"/>
  <c r="H442" i="17"/>
  <c r="H434" i="17"/>
  <c r="H426" i="17"/>
  <c r="H418" i="17"/>
  <c r="H410" i="17"/>
  <c r="H402" i="17"/>
  <c r="H394" i="17"/>
  <c r="H386" i="17"/>
  <c r="H378" i="17"/>
  <c r="H370" i="17"/>
  <c r="H362" i="17"/>
  <c r="H354" i="17"/>
  <c r="H346" i="17"/>
  <c r="H338" i="17"/>
  <c r="H330" i="17"/>
  <c r="H1001" i="17"/>
  <c r="H993" i="17"/>
  <c r="H985" i="17"/>
  <c r="H977" i="17"/>
  <c r="H969" i="17"/>
  <c r="H961" i="17"/>
  <c r="H953" i="17"/>
  <c r="H945" i="17"/>
  <c r="H937" i="17"/>
  <c r="H929" i="17"/>
  <c r="H921" i="17"/>
  <c r="H913" i="17"/>
  <c r="H905" i="17"/>
  <c r="H897" i="17"/>
  <c r="H889" i="17"/>
  <c r="H881" i="17"/>
  <c r="H873" i="17"/>
  <c r="H865" i="17"/>
  <c r="H857" i="17"/>
  <c r="H849" i="17"/>
  <c r="H841" i="17"/>
  <c r="H833" i="17"/>
  <c r="H825" i="17"/>
  <c r="H817" i="17"/>
  <c r="H809" i="17"/>
  <c r="H801" i="17"/>
  <c r="H793" i="17"/>
  <c r="H785" i="17"/>
  <c r="H777" i="17"/>
  <c r="H769" i="17"/>
  <c r="H761" i="17"/>
  <c r="H753" i="17"/>
  <c r="H745" i="17"/>
  <c r="H737" i="17"/>
  <c r="H729" i="17"/>
  <c r="H721" i="17"/>
  <c r="H1000" i="17"/>
  <c r="H992" i="17"/>
  <c r="H984" i="17"/>
  <c r="H976" i="17"/>
  <c r="H968" i="17"/>
  <c r="H960" i="17"/>
  <c r="H952" i="17"/>
  <c r="H944" i="17"/>
  <c r="H936" i="17"/>
  <c r="H928" i="17"/>
  <c r="H920" i="17"/>
  <c r="H912" i="17"/>
  <c r="H904" i="17"/>
  <c r="H896" i="17"/>
  <c r="H888" i="17"/>
  <c r="H880" i="17"/>
  <c r="H872" i="17"/>
  <c r="H864" i="17"/>
  <c r="H856" i="17"/>
  <c r="H848" i="17"/>
  <c r="H840" i="17"/>
  <c r="H832" i="17"/>
  <c r="H824" i="17"/>
  <c r="H816" i="17"/>
  <c r="H808" i="17"/>
  <c r="H800" i="17"/>
  <c r="H792" i="17"/>
  <c r="H784" i="17"/>
  <c r="H776" i="17"/>
  <c r="H768" i="17"/>
  <c r="H760" i="17"/>
  <c r="H752" i="17"/>
  <c r="H744" i="17"/>
  <c r="H736" i="17"/>
  <c r="H728" i="17"/>
  <c r="H720" i="17"/>
  <c r="H712" i="17"/>
  <c r="H704" i="17"/>
  <c r="H696" i="17"/>
  <c r="H688" i="17"/>
  <c r="H680" i="17"/>
  <c r="H672" i="17"/>
  <c r="H664" i="17"/>
  <c r="H656" i="17"/>
  <c r="H648" i="17"/>
  <c r="H640" i="17"/>
  <c r="H632" i="17"/>
  <c r="H624" i="17"/>
  <c r="H616" i="17"/>
  <c r="H608" i="17"/>
  <c r="H600" i="17"/>
  <c r="H592" i="17"/>
  <c r="H584" i="17"/>
  <c r="H576" i="17"/>
  <c r="H568" i="17"/>
  <c r="H560" i="17"/>
  <c r="H552" i="17"/>
  <c r="H544" i="17"/>
  <c r="H536" i="17"/>
  <c r="H528" i="17"/>
  <c r="H520" i="17"/>
  <c r="H512" i="17"/>
  <c r="H504" i="17"/>
  <c r="H496" i="17"/>
  <c r="H488" i="17"/>
  <c r="H480" i="17"/>
  <c r="H472" i="17"/>
  <c r="H464" i="17"/>
  <c r="H456" i="17"/>
  <c r="H448" i="17"/>
  <c r="H440" i="17"/>
  <c r="H432" i="17"/>
  <c r="H424" i="17"/>
  <c r="H416" i="17"/>
  <c r="H408" i="17"/>
  <c r="H400" i="17"/>
  <c r="H392" i="17"/>
  <c r="H384" i="17"/>
  <c r="H376" i="17"/>
  <c r="H368" i="17"/>
  <c r="H360" i="17"/>
  <c r="H352" i="17"/>
  <c r="H344" i="17"/>
  <c r="H336" i="17"/>
  <c r="H328" i="17"/>
  <c r="H999" i="17"/>
  <c r="H991" i="17"/>
  <c r="H983" i="17"/>
  <c r="H975" i="17"/>
  <c r="H967" i="17"/>
  <c r="H959" i="17"/>
  <c r="H951" i="17"/>
  <c r="H943" i="17"/>
  <c r="H935" i="17"/>
  <c r="H927" i="17"/>
  <c r="H919" i="17"/>
  <c r="H911" i="17"/>
  <c r="H903" i="17"/>
  <c r="H895" i="17"/>
  <c r="H887" i="17"/>
  <c r="H879" i="17"/>
  <c r="H871" i="17"/>
  <c r="H863" i="17"/>
  <c r="H855" i="17"/>
  <c r="H847" i="17"/>
  <c r="H839" i="17"/>
  <c r="H831" i="17"/>
  <c r="H823" i="17"/>
  <c r="H815" i="17"/>
  <c r="H807" i="17"/>
  <c r="H799" i="17"/>
  <c r="H791" i="17"/>
  <c r="H783" i="17"/>
  <c r="H775" i="17"/>
  <c r="H767" i="17"/>
  <c r="H759" i="17"/>
  <c r="H751" i="17"/>
  <c r="H743" i="17"/>
  <c r="H735" i="17"/>
  <c r="H727" i="17"/>
  <c r="H719" i="17"/>
  <c r="H998" i="17"/>
  <c r="H990" i="17"/>
  <c r="H982" i="17"/>
  <c r="H974" i="17"/>
  <c r="H966" i="17"/>
  <c r="H958" i="17"/>
  <c r="H950" i="17"/>
  <c r="H942" i="17"/>
  <c r="H934" i="17"/>
  <c r="H926" i="17"/>
  <c r="H918" i="17"/>
  <c r="H910" i="17"/>
  <c r="H902" i="17"/>
  <c r="H894" i="17"/>
  <c r="H886" i="17"/>
  <c r="H878" i="17"/>
  <c r="H870" i="17"/>
  <c r="H862" i="17"/>
  <c r="H854" i="17"/>
  <c r="H846" i="17"/>
  <c r="H838" i="17"/>
  <c r="H830" i="17"/>
  <c r="H822" i="17"/>
  <c r="H814" i="17"/>
  <c r="H806" i="17"/>
  <c r="H798" i="17"/>
  <c r="H790" i="17"/>
  <c r="H782" i="17"/>
  <c r="H774" i="17"/>
  <c r="H766" i="17"/>
  <c r="H758" i="17"/>
  <c r="H750" i="17"/>
  <c r="H742" i="17"/>
  <c r="H734" i="17"/>
  <c r="H726" i="17"/>
  <c r="H718" i="17"/>
  <c r="H710" i="17"/>
  <c r="H702" i="17"/>
  <c r="H694" i="17"/>
  <c r="H686" i="17"/>
  <c r="H678" i="17"/>
  <c r="H670" i="17"/>
  <c r="H662" i="17"/>
  <c r="H654" i="17"/>
  <c r="H646" i="17"/>
  <c r="H638" i="17"/>
  <c r="H630" i="17"/>
  <c r="H622" i="17"/>
  <c r="H614" i="17"/>
  <c r="H606" i="17"/>
  <c r="H598" i="17"/>
  <c r="H590" i="17"/>
  <c r="H582" i="17"/>
  <c r="H574" i="17"/>
  <c r="H566" i="17"/>
  <c r="H558" i="17"/>
  <c r="H550" i="17"/>
  <c r="H542" i="17"/>
  <c r="H534" i="17"/>
  <c r="H526" i="17"/>
  <c r="H518" i="17"/>
  <c r="H510" i="17"/>
  <c r="H502" i="17"/>
  <c r="H494" i="17"/>
  <c r="H486" i="17"/>
  <c r="H478" i="17"/>
  <c r="H470" i="17"/>
  <c r="H462" i="17"/>
  <c r="H454" i="17"/>
  <c r="H446" i="17"/>
  <c r="H438" i="17"/>
  <c r="H430" i="17"/>
  <c r="H422" i="17"/>
  <c r="H414" i="17"/>
  <c r="H406" i="17"/>
  <c r="H398" i="17"/>
  <c r="H390" i="17"/>
  <c r="H382" i="17"/>
  <c r="H374" i="17"/>
  <c r="H366" i="17"/>
  <c r="H358" i="17"/>
  <c r="H350" i="17"/>
  <c r="H342" i="17"/>
  <c r="H334" i="17"/>
  <c r="H326" i="17"/>
  <c r="H997" i="17"/>
  <c r="H989" i="17"/>
  <c r="H981" i="17"/>
  <c r="H973" i="17"/>
  <c r="H965" i="17"/>
  <c r="H957" i="17"/>
  <c r="H949" i="17"/>
  <c r="H941" i="17"/>
  <c r="H933" i="17"/>
  <c r="H925" i="17"/>
  <c r="H917" i="17"/>
  <c r="H909" i="17"/>
  <c r="H901" i="17"/>
  <c r="H893" i="17"/>
  <c r="H885" i="17"/>
  <c r="H877" i="17"/>
  <c r="H869" i="17"/>
  <c r="H861" i="17"/>
  <c r="H853" i="17"/>
  <c r="H845" i="17"/>
  <c r="H837" i="17"/>
  <c r="H829" i="17"/>
  <c r="H821" i="17"/>
  <c r="H813" i="17"/>
  <c r="H805" i="17"/>
  <c r="H797" i="17"/>
  <c r="H789" i="17"/>
  <c r="H781" i="17"/>
  <c r="H773" i="17"/>
  <c r="H765" i="17"/>
  <c r="H757" i="17"/>
  <c r="H749" i="17"/>
  <c r="H741" i="17"/>
  <c r="H733" i="17"/>
  <c r="H725" i="17"/>
  <c r="H717" i="17"/>
  <c r="H709" i="17"/>
  <c r="H701" i="17"/>
  <c r="H693" i="17"/>
  <c r="H685" i="17"/>
  <c r="H677" i="17"/>
  <c r="H669" i="17"/>
  <c r="H661" i="17"/>
  <c r="H653" i="17"/>
  <c r="H645" i="17"/>
  <c r="H637" i="17"/>
  <c r="H629" i="17"/>
  <c r="H621" i="17"/>
  <c r="H613" i="17"/>
  <c r="H605" i="17"/>
  <c r="H597" i="17"/>
  <c r="H589" i="17"/>
  <c r="H581" i="17"/>
  <c r="H573" i="17"/>
  <c r="H565" i="17"/>
  <c r="H557" i="17"/>
  <c r="H549" i="17"/>
  <c r="H541" i="17"/>
  <c r="H533" i="17"/>
  <c r="H525" i="17"/>
  <c r="H517" i="17"/>
  <c r="H509" i="17"/>
  <c r="H501" i="17"/>
  <c r="H493" i="17"/>
  <c r="H485" i="17"/>
  <c r="H477" i="17"/>
  <c r="H469" i="17"/>
  <c r="H461" i="17"/>
  <c r="H453" i="17"/>
  <c r="H445" i="17"/>
  <c r="H437" i="17"/>
  <c r="H429" i="17"/>
  <c r="H421" i="17"/>
  <c r="H413" i="17"/>
  <c r="H405" i="17"/>
  <c r="H397" i="17"/>
  <c r="H389" i="17"/>
  <c r="H381" i="17"/>
  <c r="H373" i="17"/>
  <c r="H365" i="17"/>
  <c r="H357" i="17"/>
  <c r="H349" i="17"/>
  <c r="H341" i="17"/>
  <c r="H333" i="17"/>
  <c r="H325" i="17"/>
  <c r="H996" i="17"/>
  <c r="H988" i="17"/>
  <c r="H980" i="17"/>
  <c r="H972" i="17"/>
  <c r="H964" i="17"/>
  <c r="H956" i="17"/>
  <c r="H948" i="17"/>
  <c r="H940" i="17"/>
  <c r="H932" i="17"/>
  <c r="H924" i="17"/>
  <c r="H916" i="17"/>
  <c r="H908" i="17"/>
  <c r="H900" i="17"/>
  <c r="H892" i="17"/>
  <c r="H884" i="17"/>
  <c r="H876" i="17"/>
  <c r="H868" i="17"/>
  <c r="H860" i="17"/>
  <c r="H852" i="17"/>
  <c r="H844" i="17"/>
  <c r="H836" i="17"/>
  <c r="H828" i="17"/>
  <c r="H820" i="17"/>
  <c r="H812" i="17"/>
  <c r="H804" i="17"/>
  <c r="H796" i="17"/>
  <c r="H788" i="17"/>
  <c r="H780" i="17"/>
  <c r="H772" i="17"/>
  <c r="H764" i="17"/>
  <c r="H756" i="17"/>
  <c r="H748" i="17"/>
  <c r="H740" i="17"/>
  <c r="H732" i="17"/>
  <c r="H724" i="17"/>
  <c r="H716" i="17"/>
  <c r="H708" i="17"/>
  <c r="H700" i="17"/>
  <c r="H692" i="17"/>
  <c r="H684" i="17"/>
  <c r="H676" i="17"/>
  <c r="H668" i="17"/>
  <c r="H660" i="17"/>
  <c r="H652" i="17"/>
  <c r="H644" i="17"/>
  <c r="H636" i="17"/>
  <c r="H628" i="17"/>
  <c r="H620" i="17"/>
  <c r="H612" i="17"/>
  <c r="H604" i="17"/>
  <c r="H596" i="17"/>
  <c r="H588" i="17"/>
  <c r="H580" i="17"/>
  <c r="H572" i="17"/>
  <c r="H564" i="17"/>
  <c r="H556" i="17"/>
  <c r="H548" i="17"/>
  <c r="H540" i="17"/>
  <c r="H532" i="17"/>
  <c r="H524" i="17"/>
  <c r="H516" i="17"/>
  <c r="H508" i="17"/>
  <c r="H500" i="17"/>
  <c r="H492" i="17"/>
  <c r="H484" i="17"/>
  <c r="H476" i="17"/>
  <c r="H468" i="17"/>
  <c r="H460" i="17"/>
  <c r="H452" i="17"/>
  <c r="H444" i="17"/>
  <c r="H436" i="17"/>
  <c r="H428" i="17"/>
  <c r="H420" i="17"/>
  <c r="H412" i="17"/>
  <c r="H404" i="17"/>
  <c r="H396" i="17"/>
  <c r="H388" i="17"/>
  <c r="H380" i="17"/>
  <c r="H372" i="17"/>
  <c r="H364" i="17"/>
  <c r="H356" i="17"/>
  <c r="H348" i="17"/>
  <c r="H340" i="17"/>
  <c r="H332" i="17"/>
  <c r="H324" i="17"/>
  <c r="H995" i="17"/>
  <c r="H931" i="17"/>
  <c r="H867" i="17"/>
  <c r="H803" i="17"/>
  <c r="H739" i="17"/>
  <c r="H703" i="17"/>
  <c r="H681" i="17"/>
  <c r="H659" i="17"/>
  <c r="H639" i="17"/>
  <c r="H617" i="17"/>
  <c r="H595" i="17"/>
  <c r="H575" i="17"/>
  <c r="H553" i="17"/>
  <c r="H531" i="17"/>
  <c r="H511" i="17"/>
  <c r="H489" i="17"/>
  <c r="H467" i="17"/>
  <c r="H447" i="17"/>
  <c r="H425" i="17"/>
  <c r="H403" i="17"/>
  <c r="H383" i="17"/>
  <c r="H361" i="17"/>
  <c r="H339" i="17"/>
  <c r="H321" i="17"/>
  <c r="H313" i="17"/>
  <c r="H305" i="17"/>
  <c r="H297" i="17"/>
  <c r="H289" i="17"/>
  <c r="H281" i="17"/>
  <c r="H273" i="17"/>
  <c r="H265" i="17"/>
  <c r="H257" i="17"/>
  <c r="H249" i="17"/>
  <c r="H241" i="17"/>
  <c r="H233" i="17"/>
  <c r="H225" i="17"/>
  <c r="H217" i="17"/>
  <c r="H209" i="17"/>
  <c r="H201" i="17"/>
  <c r="H193" i="17"/>
  <c r="H185" i="17"/>
  <c r="H177" i="17"/>
  <c r="H169" i="17"/>
  <c r="H161" i="17"/>
  <c r="H153" i="17"/>
  <c r="H145" i="17"/>
  <c r="H137" i="17"/>
  <c r="H129" i="17"/>
  <c r="H121" i="17"/>
  <c r="H113" i="17"/>
  <c r="H105" i="17"/>
  <c r="H97" i="17"/>
  <c r="H89" i="17"/>
  <c r="H81" i="17"/>
  <c r="H73" i="17"/>
  <c r="H65" i="17"/>
  <c r="H57" i="17"/>
  <c r="H49" i="17"/>
  <c r="H41" i="17"/>
  <c r="H33" i="17"/>
  <c r="H25" i="17"/>
  <c r="H17" i="17"/>
  <c r="H9" i="17"/>
  <c r="H987" i="17"/>
  <c r="H923" i="17"/>
  <c r="H859" i="17"/>
  <c r="H795" i="17"/>
  <c r="H731" i="17"/>
  <c r="H699" i="17"/>
  <c r="H679" i="17"/>
  <c r="H657" i="17"/>
  <c r="H635" i="17"/>
  <c r="H615" i="17"/>
  <c r="H593" i="17"/>
  <c r="H571" i="17"/>
  <c r="H551" i="17"/>
  <c r="H529" i="17"/>
  <c r="H507" i="17"/>
  <c r="H487" i="17"/>
  <c r="H465" i="17"/>
  <c r="H443" i="17"/>
  <c r="H423" i="17"/>
  <c r="H401" i="17"/>
  <c r="H379" i="17"/>
  <c r="H359" i="17"/>
  <c r="H337" i="17"/>
  <c r="H320" i="17"/>
  <c r="H312" i="17"/>
  <c r="H304" i="17"/>
  <c r="H296" i="17"/>
  <c r="H288" i="17"/>
  <c r="H280" i="17"/>
  <c r="H272" i="17"/>
  <c r="H264" i="17"/>
  <c r="H256" i="17"/>
  <c r="H248" i="17"/>
  <c r="H240" i="17"/>
  <c r="H232" i="17"/>
  <c r="H224" i="17"/>
  <c r="H216" i="17"/>
  <c r="H208" i="17"/>
  <c r="H200" i="17"/>
  <c r="H192" i="17"/>
  <c r="H184" i="17"/>
  <c r="H176" i="17"/>
  <c r="H168" i="17"/>
  <c r="H160" i="17"/>
  <c r="H152" i="17"/>
  <c r="H144" i="17"/>
  <c r="H136" i="17"/>
  <c r="H128" i="17"/>
  <c r="H120" i="17"/>
  <c r="H112" i="17"/>
  <c r="H104" i="17"/>
  <c r="H96" i="17"/>
  <c r="H88" i="17"/>
  <c r="H80" i="17"/>
  <c r="H72" i="17"/>
  <c r="H64" i="17"/>
  <c r="H56" i="17"/>
  <c r="H48" i="17"/>
  <c r="H40" i="17"/>
  <c r="H32" i="17"/>
  <c r="H24" i="17"/>
  <c r="H16" i="17"/>
  <c r="H8" i="17"/>
  <c r="H971" i="17"/>
  <c r="H907" i="17"/>
  <c r="H843" i="17"/>
  <c r="H779" i="17"/>
  <c r="H715" i="17"/>
  <c r="H695" i="17"/>
  <c r="H673" i="17"/>
  <c r="H651" i="17"/>
  <c r="H631" i="17"/>
  <c r="H609" i="17"/>
  <c r="H587" i="17"/>
  <c r="H567" i="17"/>
  <c r="H545" i="17"/>
  <c r="H523" i="17"/>
  <c r="H503" i="17"/>
  <c r="H481" i="17"/>
  <c r="H459" i="17"/>
  <c r="H439" i="17"/>
  <c r="H417" i="17"/>
  <c r="H395" i="17"/>
  <c r="H375" i="17"/>
  <c r="H353" i="17"/>
  <c r="H331" i="17"/>
  <c r="H318" i="17"/>
  <c r="H310" i="17"/>
  <c r="H302" i="17"/>
  <c r="H294" i="17"/>
  <c r="H286" i="17"/>
  <c r="H278" i="17"/>
  <c r="H270" i="17"/>
  <c r="H262" i="17"/>
  <c r="H254" i="17"/>
  <c r="H246" i="17"/>
  <c r="H238" i="17"/>
  <c r="H230" i="17"/>
  <c r="H222" i="17"/>
  <c r="H214" i="17"/>
  <c r="H206" i="17"/>
  <c r="H198" i="17"/>
  <c r="H190" i="17"/>
  <c r="H182" i="17"/>
  <c r="H174" i="17"/>
  <c r="H166" i="17"/>
  <c r="H158" i="17"/>
  <c r="H150" i="17"/>
  <c r="H142" i="17"/>
  <c r="H134" i="17"/>
  <c r="H126" i="17"/>
  <c r="H118" i="17"/>
  <c r="H110" i="17"/>
  <c r="H102" i="17"/>
  <c r="H94" i="17"/>
  <c r="H86" i="17"/>
  <c r="H78" i="17"/>
  <c r="H70" i="17"/>
  <c r="H62" i="17"/>
  <c r="H54" i="17"/>
  <c r="H46" i="17"/>
  <c r="H38" i="17"/>
  <c r="H30" i="17"/>
  <c r="H22" i="17"/>
  <c r="H14" i="17"/>
  <c r="H6" i="17"/>
  <c r="H963" i="17"/>
  <c r="H899" i="17"/>
  <c r="H835" i="17"/>
  <c r="H771" i="17"/>
  <c r="H713" i="17"/>
  <c r="H691" i="17"/>
  <c r="H671" i="17"/>
  <c r="H649" i="17"/>
  <c r="H627" i="17"/>
  <c r="H607" i="17"/>
  <c r="H585" i="17"/>
  <c r="H563" i="17"/>
  <c r="H543" i="17"/>
  <c r="H521" i="17"/>
  <c r="H499" i="17"/>
  <c r="H479" i="17"/>
  <c r="H457" i="17"/>
  <c r="H435" i="17"/>
  <c r="H415" i="17"/>
  <c r="H393" i="17"/>
  <c r="H371" i="17"/>
  <c r="H351" i="17"/>
  <c r="H329" i="17"/>
  <c r="H317" i="17"/>
  <c r="H309" i="17"/>
  <c r="H301" i="17"/>
  <c r="H293" i="17"/>
  <c r="H285" i="17"/>
  <c r="H277" i="17"/>
  <c r="H269" i="17"/>
  <c r="H261" i="17"/>
  <c r="H253" i="17"/>
  <c r="H245" i="17"/>
  <c r="H237" i="17"/>
  <c r="H229" i="17"/>
  <c r="H221" i="17"/>
  <c r="H213" i="17"/>
  <c r="H205" i="17"/>
  <c r="H197" i="17"/>
  <c r="H189" i="17"/>
  <c r="H181" i="17"/>
  <c r="H173" i="17"/>
  <c r="H165" i="17"/>
  <c r="H157" i="17"/>
  <c r="H149" i="17"/>
  <c r="H141" i="17"/>
  <c r="H133" i="17"/>
  <c r="H125" i="17"/>
  <c r="H117" i="17"/>
  <c r="H109" i="17"/>
  <c r="H101" i="17"/>
  <c r="H93" i="17"/>
  <c r="H85" i="17"/>
  <c r="H77" i="17"/>
  <c r="H69" i="17"/>
  <c r="H61" i="17"/>
  <c r="H53" i="17"/>
  <c r="H45" i="17"/>
  <c r="H37" i="17"/>
  <c r="H29" i="17"/>
  <c r="H21" i="17"/>
  <c r="H13" i="17"/>
  <c r="H5" i="17"/>
  <c r="H955" i="17"/>
  <c r="H891" i="17"/>
  <c r="H827" i="17"/>
  <c r="H763" i="17"/>
  <c r="H711" i="17"/>
  <c r="H689" i="17"/>
  <c r="H667" i="17"/>
  <c r="H647" i="17"/>
  <c r="H625" i="17"/>
  <c r="H603" i="17"/>
  <c r="H583" i="17"/>
  <c r="H561" i="17"/>
  <c r="H539" i="17"/>
  <c r="H519" i="17"/>
  <c r="H497" i="17"/>
  <c r="H475" i="17"/>
  <c r="H455" i="17"/>
  <c r="H433" i="17"/>
  <c r="H411" i="17"/>
  <c r="H391" i="17"/>
  <c r="H369" i="17"/>
  <c r="H347" i="17"/>
  <c r="H327" i="17"/>
  <c r="H316" i="17"/>
  <c r="H308" i="17"/>
  <c r="H300" i="17"/>
  <c r="H292" i="17"/>
  <c r="H284" i="17"/>
  <c r="H276" i="17"/>
  <c r="H268" i="17"/>
  <c r="H260" i="17"/>
  <c r="H252" i="17"/>
  <c r="H244" i="17"/>
  <c r="H236" i="17"/>
  <c r="H228" i="17"/>
  <c r="H220" i="17"/>
  <c r="H212" i="17"/>
  <c r="H204" i="17"/>
  <c r="H196" i="17"/>
  <c r="H188" i="17"/>
  <c r="H180" i="17"/>
  <c r="H172" i="17"/>
  <c r="H164" i="17"/>
  <c r="H156" i="17"/>
  <c r="H148" i="17"/>
  <c r="H140" i="17"/>
  <c r="H132" i="17"/>
  <c r="H124" i="17"/>
  <c r="H116" i="17"/>
  <c r="H108" i="17"/>
  <c r="H100" i="17"/>
  <c r="H92" i="17"/>
  <c r="H84" i="17"/>
  <c r="H76" i="17"/>
  <c r="H68" i="17"/>
  <c r="H60" i="17"/>
  <c r="H52" i="17"/>
  <c r="H44" i="17"/>
  <c r="H36" i="17"/>
  <c r="H28" i="17"/>
  <c r="H20" i="17"/>
  <c r="H12" i="17"/>
  <c r="H4" i="17"/>
  <c r="H947" i="17"/>
  <c r="H883" i="17"/>
  <c r="H819" i="17"/>
  <c r="H755" i="17"/>
  <c r="H707" i="17"/>
  <c r="H687" i="17"/>
  <c r="H665" i="17"/>
  <c r="H643" i="17"/>
  <c r="H623" i="17"/>
  <c r="H601" i="17"/>
  <c r="H579" i="17"/>
  <c r="H559" i="17"/>
  <c r="H537" i="17"/>
  <c r="H515" i="17"/>
  <c r="H495" i="17"/>
  <c r="H473" i="17"/>
  <c r="H451" i="17"/>
  <c r="H431" i="17"/>
  <c r="H409" i="17"/>
  <c r="H387" i="17"/>
  <c r="H367" i="17"/>
  <c r="H345" i="17"/>
  <c r="H323" i="17"/>
  <c r="H315" i="17"/>
  <c r="H307" i="17"/>
  <c r="H299" i="17"/>
  <c r="H291" i="17"/>
  <c r="H283" i="17"/>
  <c r="H275" i="17"/>
  <c r="H267" i="17"/>
  <c r="H259" i="17"/>
  <c r="H251" i="17"/>
  <c r="H243" i="17"/>
  <c r="H235" i="17"/>
  <c r="H227" i="17"/>
  <c r="H219" i="17"/>
  <c r="H211" i="17"/>
  <c r="H203" i="17"/>
  <c r="H195" i="17"/>
  <c r="H187" i="17"/>
  <c r="H179" i="17"/>
  <c r="H171" i="17"/>
  <c r="H163" i="17"/>
  <c r="H155" i="17"/>
  <c r="H147" i="17"/>
  <c r="H139" i="17"/>
  <c r="H131" i="17"/>
  <c r="H123" i="17"/>
  <c r="H115" i="17"/>
  <c r="H107" i="17"/>
  <c r="H99" i="17"/>
  <c r="H91" i="17"/>
  <c r="H83" i="17"/>
  <c r="H75" i="17"/>
  <c r="H67" i="17"/>
  <c r="H59" i="17"/>
  <c r="H51" i="17"/>
  <c r="H43" i="17"/>
  <c r="H35" i="17"/>
  <c r="H27" i="17"/>
  <c r="H19" i="17"/>
  <c r="H11" i="17"/>
  <c r="H3" i="17"/>
  <c r="H979" i="17"/>
  <c r="H723" i="17"/>
  <c r="H633" i="17"/>
  <c r="H547" i="17"/>
  <c r="H463" i="17"/>
  <c r="H377" i="17"/>
  <c r="H311" i="17"/>
  <c r="H279" i="17"/>
  <c r="H247" i="17"/>
  <c r="H215" i="17"/>
  <c r="H183" i="17"/>
  <c r="H151" i="17"/>
  <c r="H119" i="17"/>
  <c r="H87" i="17"/>
  <c r="H55" i="17"/>
  <c r="H23" i="17"/>
  <c r="H939" i="17"/>
  <c r="H705" i="17"/>
  <c r="H619" i="17"/>
  <c r="H535" i="17"/>
  <c r="H449" i="17"/>
  <c r="H363" i="17"/>
  <c r="H306" i="17"/>
  <c r="H274" i="17"/>
  <c r="H242" i="17"/>
  <c r="H210" i="17"/>
  <c r="H178" i="17"/>
  <c r="H146" i="17"/>
  <c r="H114" i="17"/>
  <c r="H82" i="17"/>
  <c r="H50" i="17"/>
  <c r="H18" i="17"/>
  <c r="H915" i="17"/>
  <c r="H697" i="17"/>
  <c r="H611" i="17"/>
  <c r="H527" i="17"/>
  <c r="H441" i="17"/>
  <c r="H355" i="17"/>
  <c r="H303" i="17"/>
  <c r="H271" i="17"/>
  <c r="H239" i="17"/>
  <c r="H207" i="17"/>
  <c r="H175" i="17"/>
  <c r="H143" i="17"/>
  <c r="H111" i="17"/>
  <c r="H79" i="17"/>
  <c r="H47" i="17"/>
  <c r="H15" i="17"/>
  <c r="H875" i="17"/>
  <c r="H683" i="17"/>
  <c r="H599" i="17"/>
  <c r="H513" i="17"/>
  <c r="H427" i="17"/>
  <c r="H343" i="17"/>
  <c r="H298" i="17"/>
  <c r="H266" i="17"/>
  <c r="H234" i="17"/>
  <c r="H202" i="17"/>
  <c r="H170" i="17"/>
  <c r="H138" i="17"/>
  <c r="H106" i="17"/>
  <c r="H74" i="17"/>
  <c r="H42" i="17"/>
  <c r="H10" i="17"/>
  <c r="H851" i="17"/>
  <c r="H675" i="17"/>
  <c r="H591" i="17"/>
  <c r="H505" i="17"/>
  <c r="H419" i="17"/>
  <c r="H335" i="17"/>
  <c r="H295" i="17"/>
  <c r="H263" i="17"/>
  <c r="H231" i="17"/>
  <c r="H199" i="17"/>
  <c r="H167" i="17"/>
  <c r="H135" i="17"/>
  <c r="H103" i="17"/>
  <c r="H71" i="17"/>
  <c r="H39" i="17"/>
  <c r="H7" i="17"/>
  <c r="H811" i="17"/>
  <c r="H663" i="17"/>
  <c r="H577" i="17"/>
  <c r="H491" i="17"/>
  <c r="H407" i="17"/>
  <c r="H322" i="17"/>
  <c r="H290" i="17"/>
  <c r="H258" i="17"/>
  <c r="H226" i="17"/>
  <c r="H194" i="17"/>
  <c r="H162" i="17"/>
  <c r="H130" i="17"/>
  <c r="H98" i="17"/>
  <c r="H66" i="17"/>
  <c r="H34" i="17"/>
  <c r="H787" i="17"/>
  <c r="H655" i="17"/>
  <c r="H569" i="17"/>
  <c r="H483" i="17"/>
  <c r="H399" i="17"/>
  <c r="H319" i="17"/>
  <c r="H287" i="17"/>
  <c r="H255" i="17"/>
  <c r="H223" i="17"/>
  <c r="H191" i="17"/>
  <c r="H159" i="17"/>
  <c r="H127" i="17"/>
  <c r="H95" i="17"/>
  <c r="H63" i="17"/>
  <c r="H31" i="17"/>
  <c r="H747" i="17"/>
  <c r="H218" i="17"/>
  <c r="H641" i="17"/>
  <c r="H186" i="17"/>
  <c r="H555" i="17"/>
  <c r="H154" i="17"/>
  <c r="H471" i="17"/>
  <c r="H122" i="17"/>
  <c r="H385" i="17"/>
  <c r="H90" i="17"/>
  <c r="H314" i="17"/>
  <c r="H58" i="17"/>
  <c r="H282" i="17"/>
  <c r="H250" i="17"/>
  <c r="H26" i="17"/>
  <c r="B21" i="16"/>
  <c r="B22" i="16"/>
  <c r="B28" i="16"/>
  <c r="B20" i="16"/>
  <c r="B24" i="16"/>
  <c r="B27" i="16"/>
  <c r="B19" i="16"/>
  <c r="B23" i="16"/>
  <c r="B26" i="16"/>
  <c r="B25" i="16"/>
  <c r="B55" i="16"/>
  <c r="B47" i="16"/>
  <c r="B54" i="16"/>
  <c r="B46" i="16"/>
  <c r="B53" i="16"/>
  <c r="B49" i="16"/>
  <c r="B52" i="16"/>
  <c r="B50" i="16"/>
  <c r="B51" i="16"/>
  <c r="B48" i="16"/>
  <c r="B40" i="16"/>
  <c r="B39" i="16"/>
  <c r="B38" i="16"/>
  <c r="B42" i="16"/>
  <c r="B41" i="16"/>
  <c r="D29" i="14"/>
  <c r="D28" i="14"/>
  <c r="D27" i="14"/>
  <c r="D26" i="14"/>
  <c r="D25" i="14"/>
  <c r="D24" i="14"/>
  <c r="B6" i="12"/>
  <c r="B8" i="12"/>
  <c r="B9" i="12"/>
  <c r="E28" i="8" l="1"/>
  <c r="F28" i="8" s="1"/>
  <c r="G28" i="8" s="1"/>
  <c r="H28" i="8" s="1"/>
  <c r="I28" i="8" s="1"/>
  <c r="J28" i="8" s="1"/>
  <c r="C28" i="8"/>
  <c r="E27" i="8"/>
  <c r="F27" i="8" s="1"/>
  <c r="G27" i="8" s="1"/>
  <c r="H27" i="8" s="1"/>
  <c r="I27" i="8" s="1"/>
  <c r="J27" i="8" s="1"/>
  <c r="C27" i="8"/>
  <c r="E26" i="8"/>
  <c r="F26" i="8" s="1"/>
  <c r="G26" i="8" s="1"/>
  <c r="H26" i="8" s="1"/>
  <c r="I26" i="8" s="1"/>
  <c r="J26" i="8" s="1"/>
  <c r="C26" i="8"/>
  <c r="E25" i="8"/>
  <c r="F25" i="8" s="1"/>
  <c r="G25" i="8" s="1"/>
  <c r="H25" i="8" s="1"/>
  <c r="I25" i="8" s="1"/>
  <c r="J25" i="8" s="1"/>
  <c r="C25" i="8"/>
  <c r="E24" i="8"/>
  <c r="F24" i="8" s="1"/>
  <c r="G24" i="8" s="1"/>
  <c r="H24" i="8" s="1"/>
  <c r="I24" i="8" s="1"/>
  <c r="J24" i="8" s="1"/>
  <c r="C24" i="8"/>
  <c r="E23" i="8"/>
  <c r="F23" i="8" s="1"/>
  <c r="G23" i="8" s="1"/>
  <c r="H23" i="8" s="1"/>
  <c r="I23" i="8" s="1"/>
  <c r="J23" i="8" s="1"/>
  <c r="C23" i="8"/>
  <c r="E22" i="8"/>
  <c r="F22" i="8" s="1"/>
  <c r="G22" i="8" s="1"/>
  <c r="H22" i="8" s="1"/>
  <c r="I22" i="8" s="1"/>
  <c r="J22" i="8" s="1"/>
  <c r="C22" i="8"/>
  <c r="E21" i="8"/>
  <c r="F21" i="8" s="1"/>
  <c r="G21" i="8" s="1"/>
  <c r="H21" i="8" s="1"/>
  <c r="I21" i="8" s="1"/>
  <c r="J21" i="8" s="1"/>
  <c r="C21" i="8"/>
  <c r="E20" i="8"/>
  <c r="F20" i="8" s="1"/>
  <c r="G20" i="8" s="1"/>
  <c r="H20" i="8" s="1"/>
  <c r="I20" i="8" s="1"/>
  <c r="J20" i="8" s="1"/>
  <c r="C20" i="8"/>
  <c r="E19" i="8"/>
  <c r="F19" i="8" s="1"/>
  <c r="G19" i="8" s="1"/>
  <c r="H19" i="8" s="1"/>
  <c r="I19" i="8" s="1"/>
  <c r="J19" i="8" s="1"/>
  <c r="C19" i="8"/>
  <c r="E18" i="8"/>
  <c r="F18" i="8" s="1"/>
  <c r="G18" i="8" s="1"/>
  <c r="H18" i="8" s="1"/>
  <c r="I18" i="8" s="1"/>
  <c r="J18" i="8" s="1"/>
  <c r="C18" i="8"/>
  <c r="E17" i="8"/>
  <c r="F17" i="8" s="1"/>
  <c r="G17" i="8" s="1"/>
  <c r="H17" i="8" s="1"/>
  <c r="I17" i="8" s="1"/>
  <c r="J17" i="8" s="1"/>
  <c r="C17" i="8"/>
  <c r="E16" i="8"/>
  <c r="F16" i="8" s="1"/>
  <c r="G16" i="8" s="1"/>
  <c r="H16" i="8" s="1"/>
  <c r="I16" i="8" s="1"/>
  <c r="J16" i="8" s="1"/>
  <c r="C16" i="8"/>
  <c r="E15" i="8"/>
  <c r="F15" i="8" s="1"/>
  <c r="G15" i="8" s="1"/>
  <c r="H15" i="8" s="1"/>
  <c r="I15" i="8" s="1"/>
  <c r="J15" i="8" s="1"/>
  <c r="C15" i="8"/>
  <c r="E14" i="8"/>
  <c r="F14" i="8" s="1"/>
  <c r="G14" i="8" s="1"/>
  <c r="H14" i="8" s="1"/>
  <c r="I14" i="8" s="1"/>
  <c r="J14" i="8" s="1"/>
  <c r="C14" i="8"/>
  <c r="E13" i="8"/>
  <c r="F13" i="8" s="1"/>
  <c r="G13" i="8" s="1"/>
  <c r="H13" i="8" s="1"/>
  <c r="I13" i="8" s="1"/>
  <c r="J13" i="8" s="1"/>
  <c r="C13" i="8"/>
  <c r="E12" i="8"/>
  <c r="F12" i="8" s="1"/>
  <c r="G12" i="8" s="1"/>
  <c r="H12" i="8" s="1"/>
  <c r="I12" i="8" s="1"/>
  <c r="J12" i="8" s="1"/>
  <c r="C12" i="8"/>
  <c r="E11" i="8"/>
  <c r="F11" i="8" s="1"/>
  <c r="G11" i="8" s="1"/>
  <c r="H11" i="8" s="1"/>
  <c r="I11" i="8" s="1"/>
  <c r="J11" i="8" s="1"/>
  <c r="C11" i="8"/>
  <c r="E10" i="8"/>
  <c r="F10" i="8" s="1"/>
  <c r="G10" i="8" s="1"/>
  <c r="H10" i="8" s="1"/>
  <c r="I10" i="8" s="1"/>
  <c r="J10" i="8" s="1"/>
  <c r="C10" i="8"/>
  <c r="E9" i="8"/>
  <c r="F9" i="8" s="1"/>
  <c r="G9" i="8" s="1"/>
  <c r="H9" i="8" s="1"/>
  <c r="I9" i="8" s="1"/>
  <c r="J9" i="8" s="1"/>
  <c r="C9" i="8"/>
  <c r="E8" i="8"/>
  <c r="F8" i="8" s="1"/>
  <c r="G8" i="8" s="1"/>
  <c r="H8" i="8" s="1"/>
  <c r="I8" i="8" s="1"/>
  <c r="J8" i="8" s="1"/>
  <c r="C8" i="8"/>
  <c r="E7" i="8"/>
  <c r="F7" i="8" s="1"/>
  <c r="G7" i="8" s="1"/>
  <c r="H7" i="8" s="1"/>
  <c r="I7" i="8" s="1"/>
  <c r="J7" i="8" s="1"/>
  <c r="C7" i="8"/>
  <c r="E6" i="8"/>
  <c r="F6" i="8" s="1"/>
  <c r="G6" i="8" s="1"/>
  <c r="H6" i="8" s="1"/>
  <c r="I6" i="8" s="1"/>
  <c r="J6" i="8" s="1"/>
  <c r="C6" i="8"/>
  <c r="E5" i="8"/>
  <c r="F5" i="8" s="1"/>
  <c r="G5" i="8" s="1"/>
  <c r="H5" i="8" s="1"/>
  <c r="I5" i="8" s="1"/>
  <c r="J5" i="8" s="1"/>
  <c r="C5" i="8"/>
  <c r="E4" i="8"/>
  <c r="F4" i="8" s="1"/>
  <c r="G4" i="8" s="1"/>
  <c r="H4" i="8" s="1"/>
  <c r="I4" i="8" s="1"/>
  <c r="J4" i="8" s="1"/>
  <c r="C4" i="8"/>
  <c r="F3" i="8"/>
  <c r="G3" i="8" s="1"/>
  <c r="H3" i="8" s="1"/>
  <c r="I3" i="8" s="1"/>
  <c r="J3" i="8" s="1"/>
  <c r="E3" i="8"/>
  <c r="C3" i="8"/>
  <c r="E2" i="8"/>
  <c r="F2" i="8" s="1"/>
  <c r="G2" i="8" s="1"/>
  <c r="H2" i="8" s="1"/>
  <c r="I2" i="8" s="1"/>
  <c r="J2" i="8" s="1"/>
  <c r="C2" i="8"/>
  <c r="B7" i="12"/>
  <c r="C3" i="5" l="1"/>
  <c r="C4" i="5"/>
  <c r="C5" i="5"/>
  <c r="C6" i="5"/>
  <c r="C7" i="5"/>
  <c r="C8" i="5"/>
  <c r="C9" i="5"/>
  <c r="C2" i="5"/>
  <c r="B3" i="5"/>
  <c r="B4" i="5"/>
  <c r="B5" i="5"/>
  <c r="B6" i="5"/>
  <c r="B7" i="5"/>
  <c r="B8" i="5"/>
  <c r="B9" i="5"/>
  <c r="B2" i="5"/>
  <c r="D513" i="4" l="1"/>
  <c r="F513" i="4" s="1"/>
  <c r="D512" i="4"/>
  <c r="F512" i="4" s="1"/>
  <c r="D511" i="4"/>
  <c r="F511" i="4" s="1"/>
  <c r="D510" i="4"/>
  <c r="F510" i="4" s="1"/>
  <c r="D509" i="4"/>
  <c r="F509" i="4" s="1"/>
  <c r="D508" i="4"/>
  <c r="F508" i="4" s="1"/>
  <c r="F507" i="4"/>
  <c r="D507" i="4"/>
  <c r="E507" i="4" s="1"/>
  <c r="E506" i="4"/>
  <c r="D506" i="4"/>
  <c r="F506" i="4" s="1"/>
  <c r="D505" i="4"/>
  <c r="F505" i="4" s="1"/>
  <c r="D504" i="4"/>
  <c r="F504" i="4" s="1"/>
  <c r="D503" i="4"/>
  <c r="F503" i="4" s="1"/>
  <c r="E502" i="4"/>
  <c r="D502" i="4"/>
  <c r="F502" i="4" s="1"/>
  <c r="D501" i="4"/>
  <c r="E500" i="4"/>
  <c r="D500" i="4"/>
  <c r="F500" i="4" s="1"/>
  <c r="D499" i="4"/>
  <c r="E499" i="4" s="1"/>
  <c r="D498" i="4"/>
  <c r="F498" i="4" s="1"/>
  <c r="D497" i="4"/>
  <c r="F497" i="4" s="1"/>
  <c r="D496" i="4"/>
  <c r="F496" i="4" s="1"/>
  <c r="E495" i="4"/>
  <c r="D495" i="4"/>
  <c r="F495" i="4" s="1"/>
  <c r="D494" i="4"/>
  <c r="F494" i="4" s="1"/>
  <c r="D493" i="4"/>
  <c r="F492" i="4"/>
  <c r="D492" i="4"/>
  <c r="E492" i="4" s="1"/>
  <c r="F491" i="4"/>
  <c r="D491" i="4"/>
  <c r="E491" i="4" s="1"/>
  <c r="D490" i="4"/>
  <c r="F490" i="4" s="1"/>
  <c r="D489" i="4"/>
  <c r="F489" i="4" s="1"/>
  <c r="D488" i="4"/>
  <c r="F488" i="4" s="1"/>
  <c r="F487" i="4"/>
  <c r="D487" i="4"/>
  <c r="E487" i="4" s="1"/>
  <c r="E486" i="4"/>
  <c r="D486" i="4"/>
  <c r="F486" i="4" s="1"/>
  <c r="D485" i="4"/>
  <c r="D484" i="4"/>
  <c r="F484" i="4" s="1"/>
  <c r="D483" i="4"/>
  <c r="E483" i="4" s="1"/>
  <c r="E482" i="4"/>
  <c r="D482" i="4"/>
  <c r="F482" i="4" s="1"/>
  <c r="D481" i="4"/>
  <c r="F481" i="4" s="1"/>
  <c r="D480" i="4"/>
  <c r="F480" i="4" s="1"/>
  <c r="F479" i="4"/>
  <c r="E479" i="4"/>
  <c r="D479" i="4"/>
  <c r="D478" i="4"/>
  <c r="F478" i="4" s="1"/>
  <c r="D477" i="4"/>
  <c r="E476" i="4"/>
  <c r="D476" i="4"/>
  <c r="F476" i="4" s="1"/>
  <c r="F475" i="4"/>
  <c r="D475" i="4"/>
  <c r="E475" i="4" s="1"/>
  <c r="E474" i="4"/>
  <c r="D474" i="4"/>
  <c r="F474" i="4" s="1"/>
  <c r="D473" i="4"/>
  <c r="F473" i="4" s="1"/>
  <c r="D472" i="4"/>
  <c r="F472" i="4" s="1"/>
  <c r="F471" i="4"/>
  <c r="E471" i="4"/>
  <c r="D471" i="4"/>
  <c r="D470" i="4"/>
  <c r="F470" i="4" s="1"/>
  <c r="D469" i="4"/>
  <c r="E468" i="4"/>
  <c r="D468" i="4"/>
  <c r="F468" i="4" s="1"/>
  <c r="F467" i="4"/>
  <c r="D467" i="4"/>
  <c r="E467" i="4" s="1"/>
  <c r="D466" i="4"/>
  <c r="F466" i="4" s="1"/>
  <c r="D465" i="4"/>
  <c r="F465" i="4" s="1"/>
  <c r="D464" i="4"/>
  <c r="F464" i="4" s="1"/>
  <c r="E463" i="4"/>
  <c r="D463" i="4"/>
  <c r="F463" i="4" s="1"/>
  <c r="E462" i="4"/>
  <c r="D462" i="4"/>
  <c r="F462" i="4" s="1"/>
  <c r="D461" i="4"/>
  <c r="F460" i="4"/>
  <c r="E460" i="4"/>
  <c r="D460" i="4"/>
  <c r="D459" i="4"/>
  <c r="F459" i="4" s="1"/>
  <c r="D458" i="4"/>
  <c r="F458" i="4" s="1"/>
  <c r="D457" i="4"/>
  <c r="F457" i="4" s="1"/>
  <c r="D456" i="4"/>
  <c r="F456" i="4" s="1"/>
  <c r="F455" i="4"/>
  <c r="E455" i="4"/>
  <c r="D455" i="4"/>
  <c r="D454" i="4"/>
  <c r="F454" i="4" s="1"/>
  <c r="D453" i="4"/>
  <c r="D452" i="4"/>
  <c r="F452" i="4" s="1"/>
  <c r="D451" i="4"/>
  <c r="F451" i="4" s="1"/>
  <c r="D450" i="4"/>
  <c r="F450" i="4" s="1"/>
  <c r="D449" i="4"/>
  <c r="F449" i="4" s="1"/>
  <c r="E448" i="4"/>
  <c r="D448" i="4"/>
  <c r="F448" i="4" s="1"/>
  <c r="E447" i="4"/>
  <c r="D447" i="4"/>
  <c r="F447" i="4" s="1"/>
  <c r="D446" i="4"/>
  <c r="F446" i="4" s="1"/>
  <c r="D445" i="4"/>
  <c r="F444" i="4"/>
  <c r="E444" i="4"/>
  <c r="D444" i="4"/>
  <c r="D443" i="4"/>
  <c r="F443" i="4" s="1"/>
  <c r="D442" i="4"/>
  <c r="F442" i="4" s="1"/>
  <c r="D441" i="4"/>
  <c r="F441" i="4" s="1"/>
  <c r="D440" i="4"/>
  <c r="F440" i="4" s="1"/>
  <c r="F439" i="4"/>
  <c r="D439" i="4"/>
  <c r="E439" i="4" s="1"/>
  <c r="E438" i="4"/>
  <c r="D438" i="4"/>
  <c r="F438" i="4" s="1"/>
  <c r="D437" i="4"/>
  <c r="D436" i="4"/>
  <c r="F436" i="4" s="1"/>
  <c r="D435" i="4"/>
  <c r="F435" i="4" s="1"/>
  <c r="D434" i="4"/>
  <c r="F434" i="4" s="1"/>
  <c r="D433" i="4"/>
  <c r="F433" i="4" s="1"/>
  <c r="E432" i="4"/>
  <c r="D432" i="4"/>
  <c r="F432" i="4" s="1"/>
  <c r="D431" i="4"/>
  <c r="F431" i="4" s="1"/>
  <c r="D430" i="4"/>
  <c r="F430" i="4" s="1"/>
  <c r="D429" i="4"/>
  <c r="F428" i="4"/>
  <c r="D428" i="4"/>
  <c r="E428" i="4" s="1"/>
  <c r="D427" i="4"/>
  <c r="F427" i="4" s="1"/>
  <c r="E426" i="4"/>
  <c r="D426" i="4"/>
  <c r="F426" i="4" s="1"/>
  <c r="D425" i="4"/>
  <c r="F425" i="4" s="1"/>
  <c r="E424" i="4"/>
  <c r="D424" i="4"/>
  <c r="F424" i="4" s="1"/>
  <c r="D423" i="4"/>
  <c r="E423" i="4" s="1"/>
  <c r="E422" i="4"/>
  <c r="D422" i="4"/>
  <c r="F422" i="4" s="1"/>
  <c r="D421" i="4"/>
  <c r="F420" i="4"/>
  <c r="E420" i="4"/>
  <c r="D420" i="4"/>
  <c r="D419" i="4"/>
  <c r="F419" i="4" s="1"/>
  <c r="D418" i="4"/>
  <c r="F418" i="4" s="1"/>
  <c r="D417" i="4"/>
  <c r="F417" i="4" s="1"/>
  <c r="D416" i="4"/>
  <c r="F416" i="4" s="1"/>
  <c r="F415" i="4"/>
  <c r="D415" i="4"/>
  <c r="E415" i="4" s="1"/>
  <c r="D414" i="4"/>
  <c r="F414" i="4" s="1"/>
  <c r="D413" i="4"/>
  <c r="E412" i="4"/>
  <c r="D412" i="4"/>
  <c r="F412" i="4" s="1"/>
  <c r="D411" i="4"/>
  <c r="F411" i="4" s="1"/>
  <c r="D410" i="4"/>
  <c r="F410" i="4" s="1"/>
  <c r="D409" i="4"/>
  <c r="F409" i="4" s="1"/>
  <c r="E408" i="4"/>
  <c r="D408" i="4"/>
  <c r="F408" i="4" s="1"/>
  <c r="E407" i="4"/>
  <c r="D407" i="4"/>
  <c r="F407" i="4" s="1"/>
  <c r="D406" i="4"/>
  <c r="F406" i="4" s="1"/>
  <c r="D405" i="4"/>
  <c r="F404" i="4"/>
  <c r="E404" i="4"/>
  <c r="D404" i="4"/>
  <c r="D403" i="4"/>
  <c r="F403" i="4" s="1"/>
  <c r="E402" i="4"/>
  <c r="D402" i="4"/>
  <c r="F402" i="4" s="1"/>
  <c r="D401" i="4"/>
  <c r="F401" i="4" s="1"/>
  <c r="D400" i="4"/>
  <c r="F400" i="4" s="1"/>
  <c r="D399" i="4"/>
  <c r="F399" i="4" s="1"/>
  <c r="E398" i="4"/>
  <c r="D398" i="4"/>
  <c r="F398" i="4" s="1"/>
  <c r="D397" i="4"/>
  <c r="E396" i="4"/>
  <c r="D396" i="4"/>
  <c r="F396" i="4" s="1"/>
  <c r="D395" i="4"/>
  <c r="F395" i="4" s="1"/>
  <c r="D394" i="4"/>
  <c r="F394" i="4" s="1"/>
  <c r="D393" i="4"/>
  <c r="F393" i="4" s="1"/>
  <c r="D392" i="4"/>
  <c r="F392" i="4" s="1"/>
  <c r="E391" i="4"/>
  <c r="D391" i="4"/>
  <c r="F391" i="4" s="1"/>
  <c r="D390" i="4"/>
  <c r="F390" i="4" s="1"/>
  <c r="D389" i="4"/>
  <c r="E388" i="4"/>
  <c r="D388" i="4"/>
  <c r="F388" i="4" s="1"/>
  <c r="D387" i="4"/>
  <c r="F387" i="4" s="1"/>
  <c r="E386" i="4"/>
  <c r="D386" i="4"/>
  <c r="F386" i="4" s="1"/>
  <c r="D385" i="4"/>
  <c r="F385" i="4" s="1"/>
  <c r="E384" i="4"/>
  <c r="D384" i="4"/>
  <c r="F384" i="4" s="1"/>
  <c r="D383" i="4"/>
  <c r="F383" i="4" s="1"/>
  <c r="D382" i="4"/>
  <c r="F382" i="4" s="1"/>
  <c r="D381" i="4"/>
  <c r="E380" i="4"/>
  <c r="D380" i="4"/>
  <c r="F380" i="4" s="1"/>
  <c r="D379" i="4"/>
  <c r="F379" i="4" s="1"/>
  <c r="D378" i="4"/>
  <c r="F378" i="4" s="1"/>
  <c r="D377" i="4"/>
  <c r="F377" i="4" s="1"/>
  <c r="E376" i="4"/>
  <c r="D376" i="4"/>
  <c r="F376" i="4" s="1"/>
  <c r="D375" i="4"/>
  <c r="E375" i="4" s="1"/>
  <c r="F374" i="4"/>
  <c r="E374" i="4"/>
  <c r="D374" i="4"/>
  <c r="D373" i="4"/>
  <c r="F372" i="4"/>
  <c r="D372" i="4"/>
  <c r="E372" i="4" s="1"/>
  <c r="D371" i="4"/>
  <c r="F371" i="4" s="1"/>
  <c r="D370" i="4"/>
  <c r="F370" i="4" s="1"/>
  <c r="D369" i="4"/>
  <c r="F369" i="4" s="1"/>
  <c r="D368" i="4"/>
  <c r="F368" i="4" s="1"/>
  <c r="F367" i="4"/>
  <c r="D367" i="4"/>
  <c r="E367" i="4" s="1"/>
  <c r="E366" i="4"/>
  <c r="D366" i="4"/>
  <c r="F366" i="4" s="1"/>
  <c r="D365" i="4"/>
  <c r="F364" i="4"/>
  <c r="E364" i="4"/>
  <c r="D364" i="4"/>
  <c r="D363" i="4"/>
  <c r="F363" i="4" s="1"/>
  <c r="D362" i="4"/>
  <c r="F362" i="4" s="1"/>
  <c r="D361" i="4"/>
  <c r="F361" i="4" s="1"/>
  <c r="E360" i="4"/>
  <c r="D360" i="4"/>
  <c r="F360" i="4" s="1"/>
  <c r="F359" i="4"/>
  <c r="E359" i="4"/>
  <c r="D359" i="4"/>
  <c r="D358" i="4"/>
  <c r="F358" i="4" s="1"/>
  <c r="D357" i="4"/>
  <c r="E356" i="4"/>
  <c r="D356" i="4"/>
  <c r="F356" i="4" s="1"/>
  <c r="D355" i="4"/>
  <c r="F355" i="4" s="1"/>
  <c r="D354" i="4"/>
  <c r="F354" i="4" s="1"/>
  <c r="D353" i="4"/>
  <c r="F353" i="4" s="1"/>
  <c r="E352" i="4"/>
  <c r="D352" i="4"/>
  <c r="F352" i="4" s="1"/>
  <c r="E351" i="4"/>
  <c r="D351" i="4"/>
  <c r="F351" i="4" s="1"/>
  <c r="D350" i="4"/>
  <c r="E350" i="4" s="1"/>
  <c r="D349" i="4"/>
  <c r="D348" i="4"/>
  <c r="F348" i="4" s="1"/>
  <c r="D347" i="4"/>
  <c r="F347" i="4" s="1"/>
  <c r="D346" i="4"/>
  <c r="F346" i="4" s="1"/>
  <c r="D345" i="4"/>
  <c r="F345" i="4" s="1"/>
  <c r="D344" i="4"/>
  <c r="F344" i="4" s="1"/>
  <c r="D343" i="4"/>
  <c r="F343" i="4" s="1"/>
  <c r="F342" i="4"/>
  <c r="D342" i="4"/>
  <c r="E342" i="4" s="1"/>
  <c r="D341" i="4"/>
  <c r="F340" i="4"/>
  <c r="E340" i="4"/>
  <c r="D340" i="4"/>
  <c r="D339" i="4"/>
  <c r="F339" i="4" s="1"/>
  <c r="D338" i="4"/>
  <c r="F338" i="4" s="1"/>
  <c r="D337" i="4"/>
  <c r="F337" i="4" s="1"/>
  <c r="D336" i="4"/>
  <c r="F336" i="4" s="1"/>
  <c r="F335" i="4"/>
  <c r="E335" i="4"/>
  <c r="D335" i="4"/>
  <c r="F334" i="4"/>
  <c r="E334" i="4"/>
  <c r="D334" i="4"/>
  <c r="D333" i="4"/>
  <c r="F332" i="4"/>
  <c r="E332" i="4"/>
  <c r="D332" i="4"/>
  <c r="D331" i="4"/>
  <c r="F331" i="4" s="1"/>
  <c r="D330" i="4"/>
  <c r="F330" i="4" s="1"/>
  <c r="D329" i="4"/>
  <c r="F329" i="4" s="1"/>
  <c r="D328" i="4"/>
  <c r="F328" i="4" s="1"/>
  <c r="E327" i="4"/>
  <c r="D327" i="4"/>
  <c r="F327" i="4" s="1"/>
  <c r="E326" i="4"/>
  <c r="D326" i="4"/>
  <c r="F326" i="4" s="1"/>
  <c r="D325" i="4"/>
  <c r="D324" i="4"/>
  <c r="F324" i="4" s="1"/>
  <c r="D323" i="4"/>
  <c r="F323" i="4" s="1"/>
  <c r="D322" i="4"/>
  <c r="F322" i="4" s="1"/>
  <c r="D321" i="4"/>
  <c r="F321" i="4" s="1"/>
  <c r="E320" i="4"/>
  <c r="D320" i="4"/>
  <c r="F320" i="4" s="1"/>
  <c r="D319" i="4"/>
  <c r="F319" i="4" s="1"/>
  <c r="D318" i="4"/>
  <c r="F318" i="4" s="1"/>
  <c r="D317" i="4"/>
  <c r="D316" i="4"/>
  <c r="E316" i="4" s="1"/>
  <c r="D315" i="4"/>
  <c r="F315" i="4" s="1"/>
  <c r="D314" i="4"/>
  <c r="F314" i="4" s="1"/>
  <c r="D313" i="4"/>
  <c r="F313" i="4" s="1"/>
  <c r="E312" i="4"/>
  <c r="D312" i="4"/>
  <c r="F312" i="4" s="1"/>
  <c r="D311" i="4"/>
  <c r="E311" i="4" s="1"/>
  <c r="F310" i="4"/>
  <c r="E310" i="4"/>
  <c r="D310" i="4"/>
  <c r="D309" i="4"/>
  <c r="F308" i="4"/>
  <c r="D308" i="4"/>
  <c r="E308" i="4" s="1"/>
  <c r="D307" i="4"/>
  <c r="F307" i="4" s="1"/>
  <c r="D306" i="4"/>
  <c r="F306" i="4" s="1"/>
  <c r="E305" i="4"/>
  <c r="D305" i="4"/>
  <c r="F305" i="4" s="1"/>
  <c r="E304" i="4"/>
  <c r="D304" i="4"/>
  <c r="F304" i="4" s="1"/>
  <c r="D303" i="4"/>
  <c r="E303" i="4" s="1"/>
  <c r="F302" i="4"/>
  <c r="D302" i="4"/>
  <c r="E302" i="4" s="1"/>
  <c r="D301" i="4"/>
  <c r="F300" i="4"/>
  <c r="D300" i="4"/>
  <c r="E300" i="4" s="1"/>
  <c r="D299" i="4"/>
  <c r="F299" i="4" s="1"/>
  <c r="D298" i="4"/>
  <c r="F298" i="4" s="1"/>
  <c r="E297" i="4"/>
  <c r="D297" i="4"/>
  <c r="F297" i="4" s="1"/>
  <c r="D296" i="4"/>
  <c r="F296" i="4" s="1"/>
  <c r="F295" i="4"/>
  <c r="D295" i="4"/>
  <c r="E295" i="4" s="1"/>
  <c r="E294" i="4"/>
  <c r="D294" i="4"/>
  <c r="F294" i="4" s="1"/>
  <c r="D293" i="4"/>
  <c r="E293" i="4" s="1"/>
  <c r="F292" i="4"/>
  <c r="D292" i="4"/>
  <c r="E292" i="4" s="1"/>
  <c r="D291" i="4"/>
  <c r="D290" i="4"/>
  <c r="F290" i="4" s="1"/>
  <c r="D289" i="4"/>
  <c r="F289" i="4" s="1"/>
  <c r="D288" i="4"/>
  <c r="F288" i="4" s="1"/>
  <c r="F287" i="4"/>
  <c r="E287" i="4"/>
  <c r="D287" i="4"/>
  <c r="D286" i="4"/>
  <c r="F286" i="4" s="1"/>
  <c r="D285" i="4"/>
  <c r="E285" i="4" s="1"/>
  <c r="D284" i="4"/>
  <c r="E284" i="4" s="1"/>
  <c r="D283" i="4"/>
  <c r="D282" i="4"/>
  <c r="F282" i="4" s="1"/>
  <c r="D281" i="4"/>
  <c r="F281" i="4" s="1"/>
  <c r="E280" i="4"/>
  <c r="D280" i="4"/>
  <c r="F280" i="4" s="1"/>
  <c r="E279" i="4"/>
  <c r="D279" i="4"/>
  <c r="F279" i="4" s="1"/>
  <c r="D278" i="4"/>
  <c r="E278" i="4" s="1"/>
  <c r="F277" i="4"/>
  <c r="D277" i="4"/>
  <c r="E277" i="4" s="1"/>
  <c r="D276" i="4"/>
  <c r="E276" i="4" s="1"/>
  <c r="D275" i="4"/>
  <c r="E274" i="4"/>
  <c r="D274" i="4"/>
  <c r="F274" i="4" s="1"/>
  <c r="D273" i="4"/>
  <c r="F273" i="4" s="1"/>
  <c r="E272" i="4"/>
  <c r="D272" i="4"/>
  <c r="F272" i="4" s="1"/>
  <c r="E271" i="4"/>
  <c r="D271" i="4"/>
  <c r="F271" i="4" s="1"/>
  <c r="D270" i="4"/>
  <c r="E270" i="4" s="1"/>
  <c r="F269" i="4"/>
  <c r="D269" i="4"/>
  <c r="E269" i="4" s="1"/>
  <c r="D268" i="4"/>
  <c r="E268" i="4" s="1"/>
  <c r="D267" i="4"/>
  <c r="D266" i="4"/>
  <c r="F266" i="4" s="1"/>
  <c r="E265" i="4"/>
  <c r="D265" i="4"/>
  <c r="F265" i="4" s="1"/>
  <c r="D264" i="4"/>
  <c r="F264" i="4" s="1"/>
  <c r="D263" i="4"/>
  <c r="F263" i="4" s="1"/>
  <c r="F262" i="4"/>
  <c r="D262" i="4"/>
  <c r="E262" i="4" s="1"/>
  <c r="D261" i="4"/>
  <c r="E261" i="4" s="1"/>
  <c r="D260" i="4"/>
  <c r="E260" i="4" s="1"/>
  <c r="D259" i="4"/>
  <c r="D258" i="4"/>
  <c r="F258" i="4" s="1"/>
  <c r="E257" i="4"/>
  <c r="D257" i="4"/>
  <c r="F257" i="4" s="1"/>
  <c r="D256" i="4"/>
  <c r="F256" i="4" s="1"/>
  <c r="F255" i="4"/>
  <c r="E255" i="4"/>
  <c r="D255" i="4"/>
  <c r="F254" i="4"/>
  <c r="E254" i="4"/>
  <c r="D254" i="4"/>
  <c r="D253" i="4"/>
  <c r="E253" i="4" s="1"/>
  <c r="D252" i="4"/>
  <c r="F252" i="4" s="1"/>
  <c r="F251" i="4"/>
  <c r="D251" i="4"/>
  <c r="E251" i="4" s="1"/>
  <c r="D250" i="4"/>
  <c r="F250" i="4" s="1"/>
  <c r="F249" i="4"/>
  <c r="E249" i="4"/>
  <c r="D249" i="4"/>
  <c r="D248" i="4"/>
  <c r="F248" i="4" s="1"/>
  <c r="D247" i="4"/>
  <c r="F247" i="4" s="1"/>
  <c r="D246" i="4"/>
  <c r="F246" i="4" s="1"/>
  <c r="F245" i="4"/>
  <c r="D245" i="4"/>
  <c r="E245" i="4" s="1"/>
  <c r="D244" i="4"/>
  <c r="F244" i="4" s="1"/>
  <c r="D243" i="4"/>
  <c r="E243" i="4" s="1"/>
  <c r="D242" i="4"/>
  <c r="F242" i="4" s="1"/>
  <c r="D241" i="4"/>
  <c r="F241" i="4" s="1"/>
  <c r="E240" i="4"/>
  <c r="D240" i="4"/>
  <c r="F240" i="4" s="1"/>
  <c r="D239" i="4"/>
  <c r="F239" i="4" s="1"/>
  <c r="F238" i="4"/>
  <c r="E238" i="4"/>
  <c r="D238" i="4"/>
  <c r="D237" i="4"/>
  <c r="F237" i="4" s="1"/>
  <c r="E236" i="4"/>
  <c r="D236" i="4"/>
  <c r="F236" i="4" s="1"/>
  <c r="D235" i="4"/>
  <c r="E235" i="4" s="1"/>
  <c r="D234" i="4"/>
  <c r="F234" i="4" s="1"/>
  <c r="D233" i="4"/>
  <c r="F233" i="4" s="1"/>
  <c r="D232" i="4"/>
  <c r="F232" i="4" s="1"/>
  <c r="D231" i="4"/>
  <c r="F231" i="4" s="1"/>
  <c r="F230" i="4"/>
  <c r="D230" i="4"/>
  <c r="E230" i="4" s="1"/>
  <c r="D229" i="4"/>
  <c r="F229" i="4" s="1"/>
  <c r="E228" i="4"/>
  <c r="D228" i="4"/>
  <c r="F228" i="4" s="1"/>
  <c r="D227" i="4"/>
  <c r="E227" i="4" s="1"/>
  <c r="D226" i="4"/>
  <c r="F226" i="4" s="1"/>
  <c r="E225" i="4"/>
  <c r="D225" i="4"/>
  <c r="F225" i="4" s="1"/>
  <c r="D224" i="4"/>
  <c r="F224" i="4" s="1"/>
  <c r="D223" i="4"/>
  <c r="F223" i="4" s="1"/>
  <c r="E222" i="4"/>
  <c r="D222" i="4"/>
  <c r="F222" i="4" s="1"/>
  <c r="D221" i="4"/>
  <c r="E221" i="4" s="1"/>
  <c r="D220" i="4"/>
  <c r="F220" i="4" s="1"/>
  <c r="F219" i="4"/>
  <c r="D219" i="4"/>
  <c r="E219" i="4" s="1"/>
  <c r="F218" i="4"/>
  <c r="E218" i="4"/>
  <c r="D218" i="4"/>
  <c r="D217" i="4"/>
  <c r="F217" i="4" s="1"/>
  <c r="D216" i="4"/>
  <c r="F216" i="4" s="1"/>
  <c r="D215" i="4"/>
  <c r="F215" i="4" s="1"/>
  <c r="F214" i="4"/>
  <c r="D214" i="4"/>
  <c r="E214" i="4" s="1"/>
  <c r="D213" i="4"/>
  <c r="F213" i="4" s="1"/>
  <c r="F212" i="4"/>
  <c r="E212" i="4"/>
  <c r="D212" i="4"/>
  <c r="D211" i="4"/>
  <c r="E211" i="4" s="1"/>
  <c r="D210" i="4"/>
  <c r="F210" i="4" s="1"/>
  <c r="D209" i="4"/>
  <c r="E209" i="4" s="1"/>
  <c r="D208" i="4"/>
  <c r="F208" i="4" s="1"/>
  <c r="D207" i="4"/>
  <c r="F207" i="4" s="1"/>
  <c r="D206" i="4"/>
  <c r="F206" i="4" s="1"/>
  <c r="D205" i="4"/>
  <c r="F205" i="4" s="1"/>
  <c r="D204" i="4"/>
  <c r="F204" i="4" s="1"/>
  <c r="D203" i="4"/>
  <c r="E203" i="4" s="1"/>
  <c r="D202" i="4"/>
  <c r="F202" i="4" s="1"/>
  <c r="D201" i="4"/>
  <c r="F201" i="4" s="1"/>
  <c r="D200" i="4"/>
  <c r="F200" i="4" s="1"/>
  <c r="D199" i="4"/>
  <c r="F199" i="4" s="1"/>
  <c r="D198" i="4"/>
  <c r="E198" i="4" s="1"/>
  <c r="D197" i="4"/>
  <c r="F197" i="4" s="1"/>
  <c r="D196" i="4"/>
  <c r="F196" i="4" s="1"/>
  <c r="F195" i="4"/>
  <c r="D195" i="4"/>
  <c r="E195" i="4" s="1"/>
  <c r="D194" i="4"/>
  <c r="F194" i="4" s="1"/>
  <c r="F193" i="4"/>
  <c r="E193" i="4"/>
  <c r="D193" i="4"/>
  <c r="D192" i="4"/>
  <c r="F192" i="4" s="1"/>
  <c r="D191" i="4"/>
  <c r="F191" i="4" s="1"/>
  <c r="D190" i="4"/>
  <c r="E190" i="4" s="1"/>
  <c r="F189" i="4"/>
  <c r="D189" i="4"/>
  <c r="E189" i="4" s="1"/>
  <c r="D188" i="4"/>
  <c r="F188" i="4" s="1"/>
  <c r="F187" i="4"/>
  <c r="D187" i="4"/>
  <c r="E187" i="4" s="1"/>
  <c r="D186" i="4"/>
  <c r="F186" i="4" s="1"/>
  <c r="D185" i="4"/>
  <c r="F185" i="4" s="1"/>
  <c r="D184" i="4"/>
  <c r="F184" i="4" s="1"/>
  <c r="F183" i="4"/>
  <c r="D183" i="4"/>
  <c r="E183" i="4" s="1"/>
  <c r="F182" i="4"/>
  <c r="E182" i="4"/>
  <c r="D182" i="4"/>
  <c r="D181" i="4"/>
  <c r="F181" i="4" s="1"/>
  <c r="F180" i="4"/>
  <c r="E180" i="4"/>
  <c r="D180" i="4"/>
  <c r="D179" i="4"/>
  <c r="E179" i="4" s="1"/>
  <c r="D178" i="4"/>
  <c r="F178" i="4" s="1"/>
  <c r="F177" i="4"/>
  <c r="D177" i="4"/>
  <c r="E177" i="4" s="1"/>
  <c r="D176" i="4"/>
  <c r="F176" i="4" s="1"/>
  <c r="D175" i="4"/>
  <c r="F175" i="4" s="1"/>
  <c r="D174" i="4"/>
  <c r="E174" i="4" s="1"/>
  <c r="D173" i="4"/>
  <c r="E173" i="4" s="1"/>
  <c r="D172" i="4"/>
  <c r="F172" i="4" s="1"/>
  <c r="D171" i="4"/>
  <c r="E171" i="4" s="1"/>
  <c r="D170" i="4"/>
  <c r="E170" i="4" s="1"/>
  <c r="D169" i="4"/>
  <c r="F169" i="4" s="1"/>
  <c r="D168" i="4"/>
  <c r="F168" i="4" s="1"/>
  <c r="F167" i="4"/>
  <c r="D167" i="4"/>
  <c r="E167" i="4" s="1"/>
  <c r="F166" i="4"/>
  <c r="E166" i="4"/>
  <c r="D166" i="4"/>
  <c r="D165" i="4"/>
  <c r="F165" i="4" s="1"/>
  <c r="D164" i="4"/>
  <c r="F164" i="4" s="1"/>
  <c r="F163" i="4"/>
  <c r="D163" i="4"/>
  <c r="E163" i="4" s="1"/>
  <c r="D162" i="4"/>
  <c r="F162" i="4" s="1"/>
  <c r="E161" i="4"/>
  <c r="D161" i="4"/>
  <c r="F161" i="4" s="1"/>
  <c r="D160" i="4"/>
  <c r="F160" i="4" s="1"/>
  <c r="D159" i="4"/>
  <c r="F159" i="4" s="1"/>
  <c r="D158" i="4"/>
  <c r="F158" i="4" s="1"/>
  <c r="D157" i="4"/>
  <c r="F157" i="4" s="1"/>
  <c r="D156" i="4"/>
  <c r="F156" i="4" s="1"/>
  <c r="D155" i="4"/>
  <c r="F155" i="4" s="1"/>
  <c r="D154" i="4"/>
  <c r="E154" i="4" s="1"/>
  <c r="D153" i="4"/>
  <c r="F153" i="4" s="1"/>
  <c r="D152" i="4"/>
  <c r="F152" i="4" s="1"/>
  <c r="D151" i="4"/>
  <c r="E151" i="4" s="1"/>
  <c r="F150" i="4"/>
  <c r="D150" i="4"/>
  <c r="E150" i="4" s="1"/>
  <c r="D149" i="4"/>
  <c r="F149" i="4" s="1"/>
  <c r="D148" i="4"/>
  <c r="F148" i="4" s="1"/>
  <c r="D147" i="4"/>
  <c r="E147" i="4" s="1"/>
  <c r="D146" i="4"/>
  <c r="F146" i="4" s="1"/>
  <c r="D145" i="4"/>
  <c r="F145" i="4" s="1"/>
  <c r="D144" i="4"/>
  <c r="F144" i="4" s="1"/>
  <c r="F143" i="4"/>
  <c r="D143" i="4"/>
  <c r="E143" i="4" s="1"/>
  <c r="F142" i="4"/>
  <c r="E142" i="4"/>
  <c r="D142" i="4"/>
  <c r="D141" i="4"/>
  <c r="F141" i="4" s="1"/>
  <c r="D140" i="4"/>
  <c r="F140" i="4" s="1"/>
  <c r="F139" i="4"/>
  <c r="D139" i="4"/>
  <c r="E139" i="4" s="1"/>
  <c r="D138" i="4"/>
  <c r="E138" i="4" s="1"/>
  <c r="E137" i="4"/>
  <c r="D137" i="4"/>
  <c r="F137" i="4" s="1"/>
  <c r="D136" i="4"/>
  <c r="F136" i="4" s="1"/>
  <c r="F135" i="4"/>
  <c r="E135" i="4"/>
  <c r="D135" i="4"/>
  <c r="D134" i="4"/>
  <c r="F134" i="4" s="1"/>
  <c r="D133" i="4"/>
  <c r="F133" i="4" s="1"/>
  <c r="D132" i="4"/>
  <c r="F132" i="4" s="1"/>
  <c r="F131" i="4"/>
  <c r="E131" i="4"/>
  <c r="D131" i="4"/>
  <c r="D130" i="4"/>
  <c r="E130" i="4" s="1"/>
  <c r="D129" i="4"/>
  <c r="F129" i="4" s="1"/>
  <c r="D128" i="4"/>
  <c r="F128" i="4" s="1"/>
  <c r="D127" i="4"/>
  <c r="F127" i="4" s="1"/>
  <c r="F126" i="4"/>
  <c r="D126" i="4"/>
  <c r="E126" i="4" s="1"/>
  <c r="D125" i="4"/>
  <c r="F125" i="4" s="1"/>
  <c r="D124" i="4"/>
  <c r="F124" i="4" s="1"/>
  <c r="D123" i="4"/>
  <c r="F123" i="4" s="1"/>
  <c r="D122" i="4"/>
  <c r="E122" i="4" s="1"/>
  <c r="D121" i="4"/>
  <c r="F121" i="4" s="1"/>
  <c r="D120" i="4"/>
  <c r="F120" i="4" s="1"/>
  <c r="E119" i="4"/>
  <c r="D119" i="4"/>
  <c r="F119" i="4" s="1"/>
  <c r="E118" i="4"/>
  <c r="D118" i="4"/>
  <c r="F118" i="4" s="1"/>
  <c r="D117" i="4"/>
  <c r="F117" i="4" s="1"/>
  <c r="D116" i="4"/>
  <c r="F116" i="4" s="1"/>
  <c r="F115" i="4"/>
  <c r="E115" i="4"/>
  <c r="D115" i="4"/>
  <c r="D114" i="4"/>
  <c r="F114" i="4" s="1"/>
  <c r="D113" i="4"/>
  <c r="E113" i="4" s="1"/>
  <c r="D112" i="4"/>
  <c r="F112" i="4" s="1"/>
  <c r="D111" i="4"/>
  <c r="F111" i="4" s="1"/>
  <c r="F110" i="4"/>
  <c r="E110" i="4"/>
  <c r="D110" i="4"/>
  <c r="D109" i="4"/>
  <c r="F109" i="4" s="1"/>
  <c r="D108" i="4"/>
  <c r="F108" i="4" s="1"/>
  <c r="D107" i="4"/>
  <c r="F107" i="4" s="1"/>
  <c r="D106" i="4"/>
  <c r="E106" i="4" s="1"/>
  <c r="D105" i="4"/>
  <c r="E105" i="4" s="1"/>
  <c r="D104" i="4"/>
  <c r="F104" i="4" s="1"/>
  <c r="D103" i="4"/>
  <c r="F103" i="4" s="1"/>
  <c r="D102" i="4"/>
  <c r="F102" i="4" s="1"/>
  <c r="D101" i="4"/>
  <c r="F101" i="4" s="1"/>
  <c r="D100" i="4"/>
  <c r="F100" i="4" s="1"/>
  <c r="D99" i="4"/>
  <c r="F99" i="4" s="1"/>
  <c r="D98" i="4"/>
  <c r="F98" i="4" s="1"/>
  <c r="D97" i="4"/>
  <c r="F97" i="4" s="1"/>
  <c r="D96" i="4"/>
  <c r="F96" i="4" s="1"/>
  <c r="D95" i="4"/>
  <c r="F95" i="4" s="1"/>
  <c r="D94" i="4"/>
  <c r="F94" i="4" s="1"/>
  <c r="D93" i="4"/>
  <c r="F93" i="4" s="1"/>
  <c r="D92" i="4"/>
  <c r="F92" i="4" s="1"/>
  <c r="D91" i="4"/>
  <c r="F91" i="4" s="1"/>
  <c r="D90" i="4"/>
  <c r="E90" i="4" s="1"/>
  <c r="D89" i="4"/>
  <c r="F89" i="4" s="1"/>
  <c r="D88" i="4"/>
  <c r="F88" i="4" s="1"/>
  <c r="E87" i="4"/>
  <c r="D87" i="4"/>
  <c r="F87" i="4" s="1"/>
  <c r="D86" i="4"/>
  <c r="F86" i="4" s="1"/>
  <c r="D85" i="4"/>
  <c r="F85" i="4" s="1"/>
  <c r="D84" i="4"/>
  <c r="F84" i="4" s="1"/>
  <c r="F83" i="4"/>
  <c r="E83" i="4"/>
  <c r="D83" i="4"/>
  <c r="D82" i="4"/>
  <c r="F82" i="4" s="1"/>
  <c r="D81" i="4"/>
  <c r="E81" i="4" s="1"/>
  <c r="D80" i="4"/>
  <c r="F80" i="4" s="1"/>
  <c r="D79" i="4"/>
  <c r="E79" i="4" s="1"/>
  <c r="E78" i="4"/>
  <c r="D78" i="4"/>
  <c r="F78" i="4" s="1"/>
  <c r="D77" i="4"/>
  <c r="F77" i="4" s="1"/>
  <c r="D76" i="4"/>
  <c r="F76" i="4" s="1"/>
  <c r="E75" i="4"/>
  <c r="D75" i="4"/>
  <c r="F75" i="4" s="1"/>
  <c r="D74" i="4"/>
  <c r="E74" i="4" s="1"/>
  <c r="D73" i="4"/>
  <c r="E73" i="4" s="1"/>
  <c r="D72" i="4"/>
  <c r="F72" i="4" s="1"/>
  <c r="D71" i="4"/>
  <c r="F71" i="4" s="1"/>
  <c r="D70" i="4"/>
  <c r="E70" i="4" s="1"/>
  <c r="D69" i="4"/>
  <c r="F69" i="4" s="1"/>
  <c r="D68" i="4"/>
  <c r="F68" i="4" s="1"/>
  <c r="F67" i="4"/>
  <c r="E67" i="4"/>
  <c r="D67" i="4"/>
  <c r="D66" i="4"/>
  <c r="F66" i="4" s="1"/>
  <c r="D65" i="4"/>
  <c r="E65" i="4" s="1"/>
  <c r="F64" i="4"/>
  <c r="D64" i="4"/>
  <c r="E64" i="4" s="1"/>
  <c r="D63" i="4"/>
  <c r="F63" i="4" s="1"/>
  <c r="F62" i="4"/>
  <c r="E62" i="4"/>
  <c r="D62" i="4"/>
  <c r="D61" i="4"/>
  <c r="F61" i="4" s="1"/>
  <c r="D60" i="4"/>
  <c r="F60" i="4" s="1"/>
  <c r="F59" i="4"/>
  <c r="D59" i="4"/>
  <c r="E59" i="4" s="1"/>
  <c r="D58" i="4"/>
  <c r="F58" i="4" s="1"/>
  <c r="D57" i="4"/>
  <c r="E57" i="4" s="1"/>
  <c r="D56" i="4"/>
  <c r="E56" i="4" s="1"/>
  <c r="D55" i="4"/>
  <c r="F55" i="4" s="1"/>
  <c r="F54" i="4"/>
  <c r="D54" i="4"/>
  <c r="E54" i="4" s="1"/>
  <c r="D53" i="4"/>
  <c r="F53" i="4" s="1"/>
  <c r="D52" i="4"/>
  <c r="F52" i="4" s="1"/>
  <c r="E51" i="4"/>
  <c r="D51" i="4"/>
  <c r="F51" i="4" s="1"/>
  <c r="D50" i="4"/>
  <c r="E50" i="4" s="1"/>
  <c r="D49" i="4"/>
  <c r="F49" i="4" s="1"/>
  <c r="D48" i="4"/>
  <c r="E48" i="4" s="1"/>
  <c r="D47" i="4"/>
  <c r="F47" i="4" s="1"/>
  <c r="E46" i="4"/>
  <c r="D46" i="4"/>
  <c r="F46" i="4" s="1"/>
  <c r="D45" i="4"/>
  <c r="F45" i="4" s="1"/>
  <c r="D44" i="4"/>
  <c r="F44" i="4" s="1"/>
  <c r="E43" i="4"/>
  <c r="D43" i="4"/>
  <c r="F43" i="4" s="1"/>
  <c r="D42" i="4"/>
  <c r="F42" i="4" s="1"/>
  <c r="D41" i="4"/>
  <c r="E41" i="4" s="1"/>
  <c r="D40" i="4"/>
  <c r="E40" i="4" s="1"/>
  <c r="D39" i="4"/>
  <c r="F39" i="4" s="1"/>
  <c r="E38" i="4"/>
  <c r="D38" i="4"/>
  <c r="F38" i="4" s="1"/>
  <c r="D37" i="4"/>
  <c r="F37" i="4" s="1"/>
  <c r="D36" i="4"/>
  <c r="F36" i="4" s="1"/>
  <c r="E35" i="4"/>
  <c r="D35" i="4"/>
  <c r="F35" i="4" s="1"/>
  <c r="D34" i="4"/>
  <c r="F34" i="4" s="1"/>
  <c r="D33" i="4"/>
  <c r="F33" i="4" s="1"/>
  <c r="F32" i="4"/>
  <c r="D32" i="4"/>
  <c r="E32" i="4" s="1"/>
  <c r="D31" i="4"/>
  <c r="F31" i="4" s="1"/>
  <c r="E30" i="4"/>
  <c r="D30" i="4"/>
  <c r="F30" i="4" s="1"/>
  <c r="D29" i="4"/>
  <c r="F29" i="4" s="1"/>
  <c r="D28" i="4"/>
  <c r="E28" i="4" s="1"/>
  <c r="D27" i="4"/>
  <c r="F27" i="4" s="1"/>
  <c r="D26" i="4"/>
  <c r="E26" i="4" s="1"/>
  <c r="D25" i="4"/>
  <c r="F25" i="4" s="1"/>
  <c r="F24" i="4"/>
  <c r="D24" i="4"/>
  <c r="E24" i="4" s="1"/>
  <c r="D23" i="4"/>
  <c r="F23" i="4" s="1"/>
  <c r="D22" i="4"/>
  <c r="F22" i="4" s="1"/>
  <c r="D21" i="4"/>
  <c r="F21" i="4" s="1"/>
  <c r="D20" i="4"/>
  <c r="F20" i="4" s="1"/>
  <c r="D19" i="4"/>
  <c r="F19" i="4" s="1"/>
  <c r="D18" i="4"/>
  <c r="F18" i="4" s="1"/>
  <c r="D17" i="4"/>
  <c r="F17" i="4" s="1"/>
  <c r="D16" i="4"/>
  <c r="F16" i="4" s="1"/>
  <c r="D15" i="4"/>
  <c r="F15" i="4" s="1"/>
  <c r="F14" i="4"/>
  <c r="D14" i="4"/>
  <c r="E14" i="4" s="1"/>
  <c r="D13" i="4"/>
  <c r="F13" i="4" s="1"/>
  <c r="D12" i="4"/>
  <c r="E12" i="4" s="1"/>
  <c r="E11" i="4"/>
  <c r="D11" i="4"/>
  <c r="F11" i="4" s="1"/>
  <c r="D10" i="4"/>
  <c r="F10" i="4" s="1"/>
  <c r="D9" i="4"/>
  <c r="F9" i="4" s="1"/>
  <c r="D8" i="4"/>
  <c r="E8" i="4" s="1"/>
  <c r="D7" i="4"/>
  <c r="F7" i="4" s="1"/>
  <c r="E6" i="4"/>
  <c r="D6" i="4"/>
  <c r="F6" i="4" s="1"/>
  <c r="D5" i="4"/>
  <c r="F5" i="4" s="1"/>
  <c r="D4" i="4"/>
  <c r="E4" i="4" s="1"/>
  <c r="E3" i="4"/>
  <c r="D3" i="4"/>
  <c r="F3" i="4" s="1"/>
  <c r="V2" i="4"/>
  <c r="W2" i="4" s="1"/>
  <c r="D2" i="4"/>
  <c r="F2" i="4" s="1"/>
  <c r="F70" i="4" l="1"/>
  <c r="E22" i="4"/>
  <c r="E27" i="4"/>
  <c r="F56" i="4"/>
  <c r="E102" i="4"/>
  <c r="E107" i="4"/>
  <c r="E111" i="4"/>
  <c r="E121" i="4"/>
  <c r="F147" i="4"/>
  <c r="F151" i="4"/>
  <c r="E169" i="4"/>
  <c r="F174" i="4"/>
  <c r="F190" i="4"/>
  <c r="F198" i="4"/>
  <c r="E204" i="4"/>
  <c r="F209" i="4"/>
  <c r="F221" i="4"/>
  <c r="F270" i="4"/>
  <c r="F278" i="4"/>
  <c r="F303" i="4"/>
  <c r="F311" i="4"/>
  <c r="F316" i="4"/>
  <c r="E328" i="4"/>
  <c r="F350" i="4"/>
  <c r="F375" i="4"/>
  <c r="E392" i="4"/>
  <c r="E406" i="4"/>
  <c r="F423" i="4"/>
  <c r="E446" i="4"/>
  <c r="E450" i="4"/>
  <c r="E494" i="4"/>
  <c r="F499" i="4"/>
  <c r="E503" i="4"/>
  <c r="E508" i="4"/>
  <c r="F8" i="4"/>
  <c r="E19" i="4"/>
  <c r="F48" i="4"/>
  <c r="E94" i="4"/>
  <c r="E99" i="4"/>
  <c r="E103" i="4"/>
  <c r="E123" i="4"/>
  <c r="E127" i="4"/>
  <c r="E153" i="4"/>
  <c r="E158" i="4"/>
  <c r="E184" i="4"/>
  <c r="E192" i="4"/>
  <c r="E196" i="4"/>
  <c r="E206" i="4"/>
  <c r="E215" i="4"/>
  <c r="F227" i="4"/>
  <c r="E241" i="4"/>
  <c r="E246" i="4"/>
  <c r="E258" i="4"/>
  <c r="E263" i="4"/>
  <c r="E296" i="4"/>
  <c r="E318" i="4"/>
  <c r="E343" i="4"/>
  <c r="E348" i="4"/>
  <c r="E368" i="4"/>
  <c r="E382" i="4"/>
  <c r="E390" i="4"/>
  <c r="E399" i="4"/>
  <c r="E416" i="4"/>
  <c r="E452" i="4"/>
  <c r="E470" i="4"/>
  <c r="E478" i="4"/>
  <c r="E145" i="4"/>
  <c r="E172" i="4"/>
  <c r="E201" i="4"/>
  <c r="F285" i="4"/>
  <c r="E288" i="4"/>
  <c r="E430" i="4"/>
  <c r="E456" i="4"/>
  <c r="F483" i="4"/>
  <c r="E510" i="4"/>
  <c r="F40" i="4"/>
  <c r="E86" i="4"/>
  <c r="E91" i="4"/>
  <c r="E95" i="4"/>
  <c r="E129" i="4"/>
  <c r="E134" i="4"/>
  <c r="E155" i="4"/>
  <c r="E159" i="4"/>
  <c r="E186" i="4"/>
  <c r="E216" i="4"/>
  <c r="E224" i="4"/>
  <c r="E233" i="4"/>
  <c r="E264" i="4"/>
  <c r="E286" i="4"/>
  <c r="E289" i="4"/>
  <c r="E306" i="4"/>
  <c r="E319" i="4"/>
  <c r="E324" i="4"/>
  <c r="E344" i="4"/>
  <c r="E358" i="4"/>
  <c r="E383" i="4"/>
  <c r="E400" i="4"/>
  <c r="E414" i="4"/>
  <c r="E418" i="4"/>
  <c r="E431" i="4"/>
  <c r="E436" i="4"/>
  <c r="E484" i="4"/>
  <c r="E248" i="4"/>
  <c r="E256" i="4"/>
  <c r="E273" i="4"/>
  <c r="E281" i="4"/>
  <c r="E336" i="4"/>
  <c r="E440" i="4"/>
  <c r="E454" i="4"/>
  <c r="E9" i="4"/>
  <c r="E17" i="4"/>
  <c r="E25" i="4"/>
  <c r="E89" i="4"/>
  <c r="E97" i="4"/>
  <c r="E36" i="4"/>
  <c r="F57" i="4"/>
  <c r="E60" i="4"/>
  <c r="F65" i="4"/>
  <c r="E68" i="4"/>
  <c r="F73" i="4"/>
  <c r="E76" i="4"/>
  <c r="F81" i="4"/>
  <c r="E84" i="4"/>
  <c r="E92" i="4"/>
  <c r="E100" i="4"/>
  <c r="F105" i="4"/>
  <c r="E108" i="4"/>
  <c r="F113" i="4"/>
  <c r="E116" i="4"/>
  <c r="E124" i="4"/>
  <c r="E132" i="4"/>
  <c r="E140" i="4"/>
  <c r="E148" i="4"/>
  <c r="E156" i="4"/>
  <c r="E164" i="4"/>
  <c r="E175" i="4"/>
  <c r="E178" i="4"/>
  <c r="E181" i="4"/>
  <c r="E207" i="4"/>
  <c r="E210" i="4"/>
  <c r="E213" i="4"/>
  <c r="E239" i="4"/>
  <c r="E242" i="4"/>
  <c r="E252" i="4"/>
  <c r="F259" i="4"/>
  <c r="E259" i="4"/>
  <c r="E266" i="4"/>
  <c r="F293" i="4"/>
  <c r="F301" i="4"/>
  <c r="E301" i="4"/>
  <c r="F309" i="4"/>
  <c r="E309" i="4"/>
  <c r="F317" i="4"/>
  <c r="E317" i="4"/>
  <c r="F325" i="4"/>
  <c r="E325" i="4"/>
  <c r="F333" i="4"/>
  <c r="E333" i="4"/>
  <c r="F341" i="4"/>
  <c r="E341" i="4"/>
  <c r="F349" i="4"/>
  <c r="E349" i="4"/>
  <c r="F357" i="4"/>
  <c r="E357" i="4"/>
  <c r="F365" i="4"/>
  <c r="E365" i="4"/>
  <c r="F373" i="4"/>
  <c r="E373" i="4"/>
  <c r="F381" i="4"/>
  <c r="E381" i="4"/>
  <c r="F389" i="4"/>
  <c r="E389" i="4"/>
  <c r="E410" i="4"/>
  <c r="F453" i="4"/>
  <c r="E453" i="4"/>
  <c r="E466" i="4"/>
  <c r="E2" i="4"/>
  <c r="E20" i="4"/>
  <c r="F41" i="4"/>
  <c r="E44" i="4"/>
  <c r="E52" i="4"/>
  <c r="F4" i="4"/>
  <c r="E7" i="4"/>
  <c r="E15" i="4"/>
  <c r="E39" i="4"/>
  <c r="E71" i="4"/>
  <c r="F267" i="4"/>
  <c r="E267" i="4"/>
  <c r="F445" i="4"/>
  <c r="E445" i="4"/>
  <c r="E23" i="4"/>
  <c r="E31" i="4"/>
  <c r="E55" i="4"/>
  <c r="E63" i="4"/>
  <c r="E18" i="4"/>
  <c r="E42" i="4"/>
  <c r="E66" i="4"/>
  <c r="E146" i="4"/>
  <c r="E162" i="4"/>
  <c r="E199" i="4"/>
  <c r="E202" i="4"/>
  <c r="E205" i="4"/>
  <c r="E231" i="4"/>
  <c r="E234" i="4"/>
  <c r="E237" i="4"/>
  <c r="F243" i="4"/>
  <c r="F260" i="4"/>
  <c r="F275" i="4"/>
  <c r="E275" i="4"/>
  <c r="E282" i="4"/>
  <c r="E394" i="4"/>
  <c r="F437" i="4"/>
  <c r="E437" i="4"/>
  <c r="E458" i="4"/>
  <c r="E10" i="4"/>
  <c r="E34" i="4"/>
  <c r="E58" i="4"/>
  <c r="F79" i="4"/>
  <c r="E82" i="4"/>
  <c r="E98" i="4"/>
  <c r="E114" i="4"/>
  <c r="E21" i="4"/>
  <c r="F26" i="4"/>
  <c r="E29" i="4"/>
  <c r="E37" i="4"/>
  <c r="E45" i="4"/>
  <c r="F50" i="4"/>
  <c r="E53" i="4"/>
  <c r="E61" i="4"/>
  <c r="E69" i="4"/>
  <c r="F74" i="4"/>
  <c r="E77" i="4"/>
  <c r="E85" i="4"/>
  <c r="F90" i="4"/>
  <c r="E93" i="4"/>
  <c r="E101" i="4"/>
  <c r="F106" i="4"/>
  <c r="E109" i="4"/>
  <c r="E117" i="4"/>
  <c r="F122" i="4"/>
  <c r="E125" i="4"/>
  <c r="F130" i="4"/>
  <c r="E133" i="4"/>
  <c r="F138" i="4"/>
  <c r="E141" i="4"/>
  <c r="E149" i="4"/>
  <c r="F154" i="4"/>
  <c r="E157" i="4"/>
  <c r="E165" i="4"/>
  <c r="F170" i="4"/>
  <c r="F173" i="4"/>
  <c r="E176" i="4"/>
  <c r="F179" i="4"/>
  <c r="E185" i="4"/>
  <c r="E188" i="4"/>
  <c r="E208" i="4"/>
  <c r="F211" i="4"/>
  <c r="E217" i="4"/>
  <c r="E220" i="4"/>
  <c r="F253" i="4"/>
  <c r="F268" i="4"/>
  <c r="F283" i="4"/>
  <c r="E283" i="4"/>
  <c r="E290" i="4"/>
  <c r="E314" i="4"/>
  <c r="E322" i="4"/>
  <c r="E330" i="4"/>
  <c r="E338" i="4"/>
  <c r="E346" i="4"/>
  <c r="E354" i="4"/>
  <c r="E362" i="4"/>
  <c r="E370" i="4"/>
  <c r="E378" i="4"/>
  <c r="F429" i="4"/>
  <c r="E429" i="4"/>
  <c r="F501" i="4"/>
  <c r="E501" i="4"/>
  <c r="F397" i="4"/>
  <c r="E397" i="4"/>
  <c r="F12" i="4"/>
  <c r="F28" i="4"/>
  <c r="E47" i="4"/>
  <c r="E5" i="4"/>
  <c r="E13" i="4"/>
  <c r="E16" i="4"/>
  <c r="E72" i="4"/>
  <c r="E80" i="4"/>
  <c r="E88" i="4"/>
  <c r="E96" i="4"/>
  <c r="E104" i="4"/>
  <c r="E112" i="4"/>
  <c r="E120" i="4"/>
  <c r="E128" i="4"/>
  <c r="E136" i="4"/>
  <c r="E144" i="4"/>
  <c r="E152" i="4"/>
  <c r="E160" i="4"/>
  <c r="E168" i="4"/>
  <c r="E191" i="4"/>
  <c r="E194" i="4"/>
  <c r="E197" i="4"/>
  <c r="E223" i="4"/>
  <c r="E226" i="4"/>
  <c r="E229" i="4"/>
  <c r="E244" i="4"/>
  <c r="E247" i="4"/>
  <c r="E250" i="4"/>
  <c r="F261" i="4"/>
  <c r="F276" i="4"/>
  <c r="F291" i="4"/>
  <c r="E291" i="4"/>
  <c r="E298" i="4"/>
  <c r="F421" i="4"/>
  <c r="E421" i="4"/>
  <c r="E442" i="4"/>
  <c r="F493" i="4"/>
  <c r="E493" i="4"/>
  <c r="E33" i="4"/>
  <c r="E49" i="4"/>
  <c r="F461" i="4"/>
  <c r="E461" i="4"/>
  <c r="F171" i="4"/>
  <c r="E200" i="4"/>
  <c r="F203" i="4"/>
  <c r="E232" i="4"/>
  <c r="F235" i="4"/>
  <c r="F284" i="4"/>
  <c r="F413" i="4"/>
  <c r="E413" i="4"/>
  <c r="E434" i="4"/>
  <c r="F485" i="4"/>
  <c r="E485" i="4"/>
  <c r="E498" i="4"/>
  <c r="F405" i="4"/>
  <c r="E405" i="4"/>
  <c r="F469" i="4"/>
  <c r="E469" i="4"/>
  <c r="F477" i="4"/>
  <c r="E477" i="4"/>
  <c r="E490" i="4"/>
  <c r="E511" i="4"/>
  <c r="E509" i="4"/>
  <c r="E464" i="4"/>
  <c r="E472" i="4"/>
  <c r="E480" i="4"/>
  <c r="E488" i="4"/>
  <c r="E496" i="4"/>
  <c r="E504" i="4"/>
  <c r="E512" i="4"/>
  <c r="E299" i="4"/>
  <c r="E307" i="4"/>
  <c r="E315" i="4"/>
  <c r="E323" i="4"/>
  <c r="E331" i="4"/>
  <c r="E339" i="4"/>
  <c r="E347" i="4"/>
  <c r="E355" i="4"/>
  <c r="E363" i="4"/>
  <c r="E371" i="4"/>
  <c r="E379" i="4"/>
  <c r="E387" i="4"/>
  <c r="E395" i="4"/>
  <c r="E403" i="4"/>
  <c r="E411" i="4"/>
  <c r="E419" i="4"/>
  <c r="E427" i="4"/>
  <c r="E435" i="4"/>
  <c r="E443" i="4"/>
  <c r="E451" i="4"/>
  <c r="E459" i="4"/>
  <c r="E313" i="4"/>
  <c r="E321" i="4"/>
  <c r="E329" i="4"/>
  <c r="E337" i="4"/>
  <c r="E345" i="4"/>
  <c r="E353" i="4"/>
  <c r="E361" i="4"/>
  <c r="E369" i="4"/>
  <c r="E377" i="4"/>
  <c r="E385" i="4"/>
  <c r="E393" i="4"/>
  <c r="E401" i="4"/>
  <c r="E409" i="4"/>
  <c r="E417" i="4"/>
  <c r="E425" i="4"/>
  <c r="E433" i="4"/>
  <c r="E441" i="4"/>
  <c r="E449" i="4"/>
  <c r="E457" i="4"/>
  <c r="E465" i="4"/>
  <c r="E473" i="4"/>
  <c r="E481" i="4"/>
  <c r="E489" i="4"/>
  <c r="E497" i="4"/>
  <c r="E505" i="4"/>
  <c r="E513" i="4"/>
  <c r="E5" i="3" l="1"/>
  <c r="E6" i="3" s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" i="1"/>
</calcChain>
</file>

<file path=xl/comments1.xml><?xml version="1.0" encoding="utf-8"?>
<comments xmlns="http://schemas.openxmlformats.org/spreadsheetml/2006/main">
  <authors>
    <author>Bray, Mathew J CTR USSOCOM NAVSOC NSWC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Old software is highlighted with conditional formatting.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Changed annually.  Highlights red when action is needed within one week, Yellow within one month. Green beyond one month.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 xml:space="preserve">Highlights red when action is needed within one week, Yellow within one month. Green beyond one month..
</t>
        </r>
      </text>
    </comment>
  </commentList>
</comments>
</file>

<file path=xl/sharedStrings.xml><?xml version="1.0" encoding="utf-8"?>
<sst xmlns="http://schemas.openxmlformats.org/spreadsheetml/2006/main" count="4511" uniqueCount="1631">
  <si>
    <t>"</t>
  </si>
  <si>
    <t>)=</t>
  </si>
  <si>
    <t>arrButtonList(</t>
  </si>
  <si>
    <t>blank</t>
  </si>
  <si>
    <t>applications</t>
  </si>
  <si>
    <t>backup</t>
  </si>
  <si>
    <t>training</t>
  </si>
  <si>
    <t>cheatsheet</t>
  </si>
  <si>
    <t>cygwin</t>
  </si>
  <si>
    <t>dailyreport</t>
  </si>
  <si>
    <t>developer</t>
  </si>
  <si>
    <t>disastig</t>
  </si>
  <si>
    <t>documents</t>
  </si>
  <si>
    <t>dorito</t>
  </si>
  <si>
    <t>favorites</t>
  </si>
  <si>
    <t>flappyairman</t>
  </si>
  <si>
    <t>homefolder</t>
  </si>
  <si>
    <t>gns3</t>
  </si>
  <si>
    <t>greenbutton</t>
  </si>
  <si>
    <t>grizzmon</t>
  </si>
  <si>
    <t>hyperterminal</t>
  </si>
  <si>
    <t>ipconfig</t>
  </si>
  <si>
    <t>ipranger</t>
  </si>
  <si>
    <t>kitty</t>
  </si>
  <si>
    <t>lock</t>
  </si>
  <si>
    <t>meerworksimulator</t>
  </si>
  <si>
    <t>mmconsole</t>
  </si>
  <si>
    <t>masterstationlog</t>
  </si>
  <si>
    <t>mushroom</t>
  </si>
  <si>
    <t>notepad</t>
  </si>
  <si>
    <t>onenote</t>
  </si>
  <si>
    <t>plink</t>
  </si>
  <si>
    <t>dumper</t>
  </si>
  <si>
    <t>portscan</t>
  </si>
  <si>
    <t>pumpkin</t>
  </si>
  <si>
    <t>putty</t>
  </si>
  <si>
    <t>puttyfaded</t>
  </si>
  <si>
    <t>scriptshop</t>
  </si>
  <si>
    <t>securecrt</t>
  </si>
  <si>
    <t>securefx</t>
  </si>
  <si>
    <t>sonar</t>
  </si>
  <si>
    <t>switchdeploymentmanager</t>
  </si>
  <si>
    <t>tftpd</t>
  </si>
  <si>
    <t>timezones</t>
  </si>
  <si>
    <t>toolbox</t>
  </si>
  <si>
    <t>tools</t>
  </si>
  <si>
    <t>topology</t>
  </si>
  <si>
    <t>unicorn</t>
  </si>
  <si>
    <t>update</t>
  </si>
  <si>
    <t>user</t>
  </si>
  <si>
    <t>vlc</t>
  </si>
  <si>
    <t>winscp</t>
  </si>
  <si>
    <t>wireshark</t>
  </si>
  <si>
    <t>xmas</t>
  </si>
  <si>
    <t>calendar</t>
  </si>
  <si>
    <t>calendarclock</t>
  </si>
  <si>
    <t>chrome</t>
  </si>
  <si>
    <t>ciscowhite1</t>
  </si>
  <si>
    <t>ciscowhite2</t>
  </si>
  <si>
    <t>ciscoblue1</t>
  </si>
  <si>
    <t>ciscoblue2</t>
  </si>
  <si>
    <t>ciscodarkblue1</t>
  </si>
  <si>
    <t>ciscodarkblue2</t>
  </si>
  <si>
    <t>ciscoball1</t>
  </si>
  <si>
    <t>ciscoball2</t>
  </si>
  <si>
    <t>clock</t>
  </si>
  <si>
    <t>firefox</t>
  </si>
  <si>
    <t>folderblue</t>
  </si>
  <si>
    <t>foldergreen</t>
  </si>
  <si>
    <t>folderpink</t>
  </si>
  <si>
    <t>folderpurple</t>
  </si>
  <si>
    <t>game</t>
  </si>
  <si>
    <t>heart</t>
  </si>
  <si>
    <t>iexplore</t>
  </si>
  <si>
    <t>infoblox1</t>
  </si>
  <si>
    <t>infoblox2</t>
  </si>
  <si>
    <t>ciscoise</t>
  </si>
  <si>
    <t>map</t>
  </si>
  <si>
    <t>msedge</t>
  </si>
  <si>
    <t>owa</t>
  </si>
  <si>
    <t>phoneblue</t>
  </si>
  <si>
    <t>phonegreen</t>
  </si>
  <si>
    <t>phoneorange</t>
  </si>
  <si>
    <t>phonepurple</t>
  </si>
  <si>
    <t>router</t>
  </si>
  <si>
    <t>solarwinds1</t>
  </si>
  <si>
    <t>solarwinds2</t>
  </si>
  <si>
    <t>splunk</t>
  </si>
  <si>
    <t>terminal</t>
  </si>
  <si>
    <t>timecard</t>
  </si>
  <si>
    <t>viasat1</t>
  </si>
  <si>
    <t>viasat2</t>
  </si>
  <si>
    <t>wifiblue</t>
  </si>
  <si>
    <t>wifigreen</t>
  </si>
  <si>
    <t>wifiorange</t>
  </si>
  <si>
    <t>wifipink</t>
  </si>
  <si>
    <t>wifipurple</t>
  </si>
  <si>
    <t>wifired</t>
  </si>
  <si>
    <t>windowsblue</t>
  </si>
  <si>
    <t>windowsgreen</t>
  </si>
  <si>
    <t>windowsorange</t>
  </si>
  <si>
    <t>windowspink</t>
  </si>
  <si>
    <t>windowspurple</t>
  </si>
  <si>
    <t>windowsred</t>
  </si>
  <si>
    <t>windowsyellow</t>
  </si>
  <si>
    <t>linuxpurple</t>
  </si>
  <si>
    <t>linuxblue</t>
  </si>
  <si>
    <t>linuxgreen</t>
  </si>
  <si>
    <t>linuxpink</t>
  </si>
  <si>
    <t>linuxyellow</t>
  </si>
  <si>
    <t>qrcode</t>
  </si>
  <si>
    <t>alert</t>
  </si>
  <si>
    <t>audacity</t>
  </si>
  <si>
    <t>bulletbill</t>
  </si>
  <si>
    <t>circuitboard</t>
  </si>
  <si>
    <t>coffee</t>
  </si>
  <si>
    <t>dotblue</t>
  </si>
  <si>
    <t>dotgray</t>
  </si>
  <si>
    <t>dotgreen</t>
  </si>
  <si>
    <t>dotred</t>
  </si>
  <si>
    <t>dotyellow</t>
  </si>
  <si>
    <t>gimp</t>
  </si>
  <si>
    <t>help</t>
  </si>
  <si>
    <t>kanban</t>
  </si>
  <si>
    <t>music</t>
  </si>
  <si>
    <t>reddit</t>
  </si>
  <si>
    <t>snmpget</t>
  </si>
  <si>
    <t>spotify</t>
  </si>
  <si>
    <t>,</t>
  </si>
  <si>
    <t>Name</t>
  </si>
  <si>
    <t>Amount</t>
  </si>
  <si>
    <t>Bray</t>
  </si>
  <si>
    <t>Overall</t>
  </si>
  <si>
    <t>Target</t>
  </si>
  <si>
    <t>Total</t>
  </si>
  <si>
    <t>Percent</t>
  </si>
  <si>
    <t>Paste Dumped IPs and Hostnames Here!</t>
  </si>
  <si>
    <t>Here are the Results to "Paste as Value"</t>
  </si>
  <si>
    <t>192.168.48.1</t>
  </si>
  <si>
    <t>192.168.48.2</t>
  </si>
  <si>
    <t>192.168.48.3</t>
  </si>
  <si>
    <t>192.168.48.4</t>
  </si>
  <si>
    <t>192.168.48.5</t>
  </si>
  <si>
    <t>192.168.48.6</t>
  </si>
  <si>
    <t>192.168.48.7</t>
  </si>
  <si>
    <t>192.168.48.8</t>
  </si>
  <si>
    <t>192.168.48.9</t>
  </si>
  <si>
    <t>192.168.48.10</t>
  </si>
  <si>
    <t>192.168.48.11</t>
  </si>
  <si>
    <t>192.168.48.21</t>
  </si>
  <si>
    <t>192.168.48.12</t>
  </si>
  <si>
    <t>192.168.48.22</t>
  </si>
  <si>
    <t>192.168.48.13</t>
  </si>
  <si>
    <t>192.168.48.23</t>
  </si>
  <si>
    <t>192.168.48.14</t>
  </si>
  <si>
    <t>192.168.48.24</t>
  </si>
  <si>
    <t>192.168.48.15</t>
  </si>
  <si>
    <t>192.168.48.25</t>
  </si>
  <si>
    <t>192.168.48.16</t>
  </si>
  <si>
    <t>192.168.48.26</t>
  </si>
  <si>
    <t>192.168.48.17</t>
  </si>
  <si>
    <t>192.168.48.27</t>
  </si>
  <si>
    <t>192.168.48.18</t>
  </si>
  <si>
    <t>192.168.48.28</t>
  </si>
  <si>
    <t>192.168.48.19</t>
  </si>
  <si>
    <t>192.168.48.29</t>
  </si>
  <si>
    <t>192.168.48.20</t>
  </si>
  <si>
    <t>192.168.48.30</t>
  </si>
  <si>
    <t>192.168.48.31</t>
  </si>
  <si>
    <t>192.168.48.33</t>
  </si>
  <si>
    <t>192.168.48.34</t>
  </si>
  <si>
    <t>192.168.48.35</t>
  </si>
  <si>
    <t>192.168.48.36</t>
  </si>
  <si>
    <t>192.168.48.37</t>
  </si>
  <si>
    <t>192.168.48.38</t>
  </si>
  <si>
    <t>192.168.48.39</t>
  </si>
  <si>
    <t>192.168.48.40</t>
  </si>
  <si>
    <t>192.168.48.41</t>
  </si>
  <si>
    <t>192.168.48.42</t>
  </si>
  <si>
    <t>192.168.48.32</t>
  </si>
  <si>
    <t>192.168.48.44</t>
  </si>
  <si>
    <t>192.168.48.45</t>
  </si>
  <si>
    <t>192.168.48.46</t>
  </si>
  <si>
    <t>192.168.48.47</t>
  </si>
  <si>
    <t>192.168.48.48</t>
  </si>
  <si>
    <t>192.168.48.49</t>
  </si>
  <si>
    <t>192.168.48.50</t>
  </si>
  <si>
    <t>192.168.48.52</t>
  </si>
  <si>
    <t>192.168.48.53</t>
  </si>
  <si>
    <t>192.168.48.54</t>
  </si>
  <si>
    <t>192.168.48.55</t>
  </si>
  <si>
    <t>192.168.48.43</t>
  </si>
  <si>
    <t>192.168.48.57</t>
  </si>
  <si>
    <t>192.168.48.58</t>
  </si>
  <si>
    <t>192.168.48.59</t>
  </si>
  <si>
    <t>192.168.48.60</t>
  </si>
  <si>
    <t>192.168.48.61</t>
  </si>
  <si>
    <t>192.168.48.62</t>
  </si>
  <si>
    <t>192.168.48.63</t>
  </si>
  <si>
    <t>192.168.48.64</t>
  </si>
  <si>
    <t>192.168.48.51</t>
  </si>
  <si>
    <t>192.168.48.65</t>
  </si>
  <si>
    <t>192.168.48.66</t>
  </si>
  <si>
    <t>192.168.48.67</t>
  </si>
  <si>
    <t>192.168.48.68</t>
  </si>
  <si>
    <t>192.168.48.70</t>
  </si>
  <si>
    <t>192.168.48.56</t>
  </si>
  <si>
    <t>192.168.48.71</t>
  </si>
  <si>
    <t>192.168.48.72</t>
  </si>
  <si>
    <t>192.168.48.73</t>
  </si>
  <si>
    <t>192.168.48.74</t>
  </si>
  <si>
    <t>192.168.48.75</t>
  </si>
  <si>
    <t>192.168.48.76</t>
  </si>
  <si>
    <t>192.168.48.77</t>
  </si>
  <si>
    <t>192.168.48.78</t>
  </si>
  <si>
    <t>192.168.48.79</t>
  </si>
  <si>
    <t>192.168.48.80</t>
  </si>
  <si>
    <t>192.168.48.81</t>
  </si>
  <si>
    <t>192.168.48.82</t>
  </si>
  <si>
    <t>192.168.48.83</t>
  </si>
  <si>
    <t>192.168.48.69</t>
  </si>
  <si>
    <t>192.168.48.84</t>
  </si>
  <si>
    <t>192.168.48.85</t>
  </si>
  <si>
    <t>192.168.48.86</t>
  </si>
  <si>
    <t>192.168.48.87</t>
  </si>
  <si>
    <t>192.168.48.88</t>
  </si>
  <si>
    <t>192.168.48.89</t>
  </si>
  <si>
    <t>192.168.48.90</t>
  </si>
  <si>
    <t>192.168.48.91</t>
  </si>
  <si>
    <t>192.168.48.92</t>
  </si>
  <si>
    <t>192.168.48.93</t>
  </si>
  <si>
    <t>192.168.48.94</t>
  </si>
  <si>
    <t>192.168.48.95</t>
  </si>
  <si>
    <t>192.168.48.96</t>
  </si>
  <si>
    <t>192.168.48.98</t>
  </si>
  <si>
    <t>192.168.48.100</t>
  </si>
  <si>
    <t>192.168.48.101</t>
  </si>
  <si>
    <t>192.168.48.102</t>
  </si>
  <si>
    <t>192.168.48.104</t>
  </si>
  <si>
    <t>192.168.48.105</t>
  </si>
  <si>
    <t>192.168.48.106</t>
  </si>
  <si>
    <t>192.168.48.108</t>
  </si>
  <si>
    <t>192.168.48.109</t>
  </si>
  <si>
    <t>192.168.48.111</t>
  </si>
  <si>
    <t>192.168.48.113</t>
  </si>
  <si>
    <t>192.168.48.114</t>
  </si>
  <si>
    <t>192.168.48.115</t>
  </si>
  <si>
    <t>192.168.48.117</t>
  </si>
  <si>
    <t>192.168.48.118</t>
  </si>
  <si>
    <t>192.168.48.97</t>
  </si>
  <si>
    <t>192.168.48.119</t>
  </si>
  <si>
    <t>192.168.48.120</t>
  </si>
  <si>
    <t>192.168.48.99</t>
  </si>
  <si>
    <t>192.168.48.121</t>
  </si>
  <si>
    <t>192.168.48.122</t>
  </si>
  <si>
    <t>192.168.48.123</t>
  </si>
  <si>
    <t>192.168.48.124</t>
  </si>
  <si>
    <t>192.168.48.103</t>
  </si>
  <si>
    <t>192.168.48.125</t>
  </si>
  <si>
    <t>192.168.48.127</t>
  </si>
  <si>
    <t>192.168.48.128</t>
  </si>
  <si>
    <t>192.168.48.129</t>
  </si>
  <si>
    <t>192.168.48.107</t>
  </si>
  <si>
    <t>192.168.48.130</t>
  </si>
  <si>
    <t>192.168.48.131</t>
  </si>
  <si>
    <t>192.168.48.132</t>
  </si>
  <si>
    <t>192.168.48.110</t>
  </si>
  <si>
    <t>192.168.48.133</t>
  </si>
  <si>
    <t>192.168.48.134</t>
  </si>
  <si>
    <t>192.168.48.112</t>
  </si>
  <si>
    <t>192.168.48.135</t>
  </si>
  <si>
    <t>192.168.48.136</t>
  </si>
  <si>
    <t>192.168.48.137</t>
  </si>
  <si>
    <t>192.168.48.138</t>
  </si>
  <si>
    <t>192.168.48.116</t>
  </si>
  <si>
    <t>192.168.48.139</t>
  </si>
  <si>
    <t>192.168.48.141</t>
  </si>
  <si>
    <t>192.168.48.142</t>
  </si>
  <si>
    <t>192.168.48.143</t>
  </si>
  <si>
    <t>192.168.48.144</t>
  </si>
  <si>
    <t>192.168.48.145</t>
  </si>
  <si>
    <t>192.168.48.146</t>
  </si>
  <si>
    <t>192.168.48.147</t>
  </si>
  <si>
    <t>192.168.48.148</t>
  </si>
  <si>
    <t>192.168.48.149</t>
  </si>
  <si>
    <t>192.168.48.126</t>
  </si>
  <si>
    <t>192.168.48.150</t>
  </si>
  <si>
    <t>192.168.48.151</t>
  </si>
  <si>
    <t>192.168.48.153</t>
  </si>
  <si>
    <t>192.168.48.154</t>
  </si>
  <si>
    <t>192.168.48.155</t>
  </si>
  <si>
    <t>192.168.48.156</t>
  </si>
  <si>
    <t>192.168.48.158</t>
  </si>
  <si>
    <t>192.168.48.159</t>
  </si>
  <si>
    <t>192.168.48.160</t>
  </si>
  <si>
    <t>192.168.48.161</t>
  </si>
  <si>
    <t>192.168.48.162</t>
  </si>
  <si>
    <t>192.168.48.163</t>
  </si>
  <si>
    <t>192.168.48.164</t>
  </si>
  <si>
    <t>192.168.48.165</t>
  </si>
  <si>
    <t>192.168.48.140</t>
  </si>
  <si>
    <t>192.168.48.166</t>
  </si>
  <si>
    <t>192.168.48.167</t>
  </si>
  <si>
    <t>192.168.48.168</t>
  </si>
  <si>
    <t>192.168.48.169</t>
  </si>
  <si>
    <t>192.168.48.170</t>
  </si>
  <si>
    <t>192.168.48.171</t>
  </si>
  <si>
    <t>192.168.48.172</t>
  </si>
  <si>
    <t>192.168.48.173</t>
  </si>
  <si>
    <t>192.168.48.174</t>
  </si>
  <si>
    <t>192.168.48.176</t>
  </si>
  <si>
    <t>192.168.48.177</t>
  </si>
  <si>
    <t>192.168.48.178</t>
  </si>
  <si>
    <t>192.168.48.152</t>
  </si>
  <si>
    <t>192.168.48.179</t>
  </si>
  <si>
    <t>192.168.48.180</t>
  </si>
  <si>
    <t>192.168.48.181</t>
  </si>
  <si>
    <t>192.168.48.182</t>
  </si>
  <si>
    <t>192.168.48.183</t>
  </si>
  <si>
    <t>192.168.48.157</t>
  </si>
  <si>
    <t>192.168.48.184</t>
  </si>
  <si>
    <t>192.168.48.186</t>
  </si>
  <si>
    <t>192.168.48.187</t>
  </si>
  <si>
    <t>192.168.48.188</t>
  </si>
  <si>
    <t>192.168.48.189</t>
  </si>
  <si>
    <t>192.168.48.190</t>
  </si>
  <si>
    <t>192.168.48.191</t>
  </si>
  <si>
    <t>192.168.48.192</t>
  </si>
  <si>
    <t>192.168.48.193</t>
  </si>
  <si>
    <t>192.168.48.195</t>
  </si>
  <si>
    <t>192.168.48.196</t>
  </si>
  <si>
    <t>192.168.48.197</t>
  </si>
  <si>
    <t>192.168.48.198</t>
  </si>
  <si>
    <t>192.168.48.199</t>
  </si>
  <si>
    <t>192.168.48.200</t>
  </si>
  <si>
    <t>192.168.48.201</t>
  </si>
  <si>
    <t>192.168.48.202</t>
  </si>
  <si>
    <t>192.168.48.203</t>
  </si>
  <si>
    <t>192.168.48.175</t>
  </si>
  <si>
    <t>192.168.48.204</t>
  </si>
  <si>
    <t>192.168.48.205</t>
  </si>
  <si>
    <t>192.168.48.206</t>
  </si>
  <si>
    <t>192.168.48.207</t>
  </si>
  <si>
    <t>192.168.48.208</t>
  </si>
  <si>
    <t>192.168.48.209</t>
  </si>
  <si>
    <t>192.168.48.211</t>
  </si>
  <si>
    <t>192.168.48.212</t>
  </si>
  <si>
    <t>192.168.48.213</t>
  </si>
  <si>
    <t>192.168.48.214</t>
  </si>
  <si>
    <t>192.168.48.185</t>
  </si>
  <si>
    <t>192.168.48.215</t>
  </si>
  <si>
    <t>192.168.48.217</t>
  </si>
  <si>
    <t>192.168.48.218</t>
  </si>
  <si>
    <t>192.168.48.219</t>
  </si>
  <si>
    <t>192.168.48.220</t>
  </si>
  <si>
    <t>192.168.48.221</t>
  </si>
  <si>
    <t>192.168.48.222</t>
  </si>
  <si>
    <t>192.168.48.223</t>
  </si>
  <si>
    <t>192.168.48.224</t>
  </si>
  <si>
    <t>192.168.48.194</t>
  </si>
  <si>
    <t>192.168.48.225</t>
  </si>
  <si>
    <t>192.168.48.226</t>
  </si>
  <si>
    <t>192.168.48.227</t>
  </si>
  <si>
    <t>192.168.48.228</t>
  </si>
  <si>
    <t>192.168.48.229</t>
  </si>
  <si>
    <t>192.168.48.230</t>
  </si>
  <si>
    <t>192.168.48.231</t>
  </si>
  <si>
    <t>192.168.48.232</t>
  </si>
  <si>
    <t>192.168.48.233</t>
  </si>
  <si>
    <t>192.168.48.234</t>
  </si>
  <si>
    <t>192.168.48.235</t>
  </si>
  <si>
    <t>192.168.48.236</t>
  </si>
  <si>
    <t>192.168.48.237</t>
  </si>
  <si>
    <t>192.168.48.238</t>
  </si>
  <si>
    <t>192.168.48.239</t>
  </si>
  <si>
    <t>192.168.48.240</t>
  </si>
  <si>
    <t>192.168.48.210</t>
  </si>
  <si>
    <t>192.168.48.242</t>
  </si>
  <si>
    <t>192.168.48.243</t>
  </si>
  <si>
    <t>192.168.48.245</t>
  </si>
  <si>
    <t>192.168.48.248</t>
  </si>
  <si>
    <t>192.168.48.249</t>
  </si>
  <si>
    <t>192.168.48.250</t>
  </si>
  <si>
    <t>192.168.48.216</t>
  </si>
  <si>
    <t>192.168.48.251</t>
  </si>
  <si>
    <t>192.168.48.252</t>
  </si>
  <si>
    <t>192.168.48.253</t>
  </si>
  <si>
    <t>192.168.48.254</t>
  </si>
  <si>
    <t>192.168.48.255</t>
  </si>
  <si>
    <t>192.168.49.0</t>
  </si>
  <si>
    <t>192.168.49.1</t>
  </si>
  <si>
    <t>192.168.49.2</t>
  </si>
  <si>
    <t>192.168.49.3</t>
  </si>
  <si>
    <t>192.168.49.4</t>
  </si>
  <si>
    <t>192.168.49.5</t>
  </si>
  <si>
    <t>192.168.49.6</t>
  </si>
  <si>
    <t>192.168.49.7</t>
  </si>
  <si>
    <t>192.168.49.8</t>
  </si>
  <si>
    <t>192.168.49.9</t>
  </si>
  <si>
    <t>192.168.49.10</t>
  </si>
  <si>
    <t>192.168.49.11</t>
  </si>
  <si>
    <t>192.168.49.12</t>
  </si>
  <si>
    <t>192.168.49.13</t>
  </si>
  <si>
    <t>192.168.49.14</t>
  </si>
  <si>
    <t>192.168.49.15</t>
  </si>
  <si>
    <t>192.168.49.16</t>
  </si>
  <si>
    <t>192.168.49.17</t>
  </si>
  <si>
    <t>192.168.49.18</t>
  </si>
  <si>
    <t>192.168.49.19</t>
  </si>
  <si>
    <t>192.168.48.241</t>
  </si>
  <si>
    <t>192.168.49.21</t>
  </si>
  <si>
    <t>192.168.49.22</t>
  </si>
  <si>
    <t>192.168.49.23</t>
  </si>
  <si>
    <t>192.168.48.244</t>
  </si>
  <si>
    <t>192.168.49.24</t>
  </si>
  <si>
    <t>192.168.49.25</t>
  </si>
  <si>
    <t>192.168.48.246</t>
  </si>
  <si>
    <t>192.168.49.26</t>
  </si>
  <si>
    <t>192.168.48.247</t>
  </si>
  <si>
    <t>192.168.49.27</t>
  </si>
  <si>
    <t>192.168.49.28</t>
  </si>
  <si>
    <t>192.168.49.29</t>
  </si>
  <si>
    <t>192.168.49.30</t>
  </si>
  <si>
    <t>192.168.49.31</t>
  </si>
  <si>
    <t>192.168.49.32</t>
  </si>
  <si>
    <t>192.168.49.33</t>
  </si>
  <si>
    <t>192.168.49.34</t>
  </si>
  <si>
    <t>192.168.49.37</t>
  </si>
  <si>
    <t>192.168.49.38</t>
  </si>
  <si>
    <t>192.168.49.39</t>
  </si>
  <si>
    <t>192.168.49.40</t>
  </si>
  <si>
    <t>192.168.49.41</t>
  </si>
  <si>
    <t>192.168.49.42</t>
  </si>
  <si>
    <t>192.168.49.43</t>
  </si>
  <si>
    <t>192.168.49.44</t>
  </si>
  <si>
    <t>192.168.49.45</t>
  </si>
  <si>
    <t>192.168.49.47</t>
  </si>
  <si>
    <t>192.168.49.48</t>
  </si>
  <si>
    <t>192.168.49.49</t>
  </si>
  <si>
    <t>192.168.49.50</t>
  </si>
  <si>
    <t>192.168.49.51</t>
  </si>
  <si>
    <t>192.168.49.52</t>
  </si>
  <si>
    <t>192.168.49.53</t>
  </si>
  <si>
    <t>192.168.49.54</t>
  </si>
  <si>
    <t>192.168.49.55</t>
  </si>
  <si>
    <t>192.168.49.56</t>
  </si>
  <si>
    <t>192.168.49.58</t>
  </si>
  <si>
    <t>192.168.49.59</t>
  </si>
  <si>
    <t>192.168.49.20</t>
  </si>
  <si>
    <t>192.168.49.60</t>
  </si>
  <si>
    <t>192.168.49.64</t>
  </si>
  <si>
    <t>192.168.49.65</t>
  </si>
  <si>
    <t>192.168.49.66</t>
  </si>
  <si>
    <t>192.168.49.70</t>
  </si>
  <si>
    <t>192.168.49.71</t>
  </si>
  <si>
    <t>192.168.49.72</t>
  </si>
  <si>
    <t>192.168.49.73</t>
  </si>
  <si>
    <t>192.168.49.74</t>
  </si>
  <si>
    <t>192.168.49.75</t>
  </si>
  <si>
    <t>192.168.49.76</t>
  </si>
  <si>
    <t>192.168.49.77</t>
  </si>
  <si>
    <t>192.168.49.80</t>
  </si>
  <si>
    <t>192.168.49.82</t>
  </si>
  <si>
    <t>192.168.49.83</t>
  </si>
  <si>
    <t>192.168.49.35</t>
  </si>
  <si>
    <t>192.168.49.84</t>
  </si>
  <si>
    <t>192.168.49.36</t>
  </si>
  <si>
    <t>192.168.49.85</t>
  </si>
  <si>
    <t>192.168.49.86</t>
  </si>
  <si>
    <t>192.168.49.88</t>
  </si>
  <si>
    <t>192.168.49.89</t>
  </si>
  <si>
    <t>192.168.49.90</t>
  </si>
  <si>
    <t>192.168.49.91</t>
  </si>
  <si>
    <t>192.168.49.92</t>
  </si>
  <si>
    <t>192.168.49.93</t>
  </si>
  <si>
    <t>192.168.49.94</t>
  </si>
  <si>
    <t>192.168.49.99</t>
  </si>
  <si>
    <t>192.168.49.46</t>
  </si>
  <si>
    <t>192.168.49.101</t>
  </si>
  <si>
    <t>192.168.49.102</t>
  </si>
  <si>
    <t>192.168.49.103</t>
  </si>
  <si>
    <t>192.168.49.106</t>
  </si>
  <si>
    <t>192.168.49.107</t>
  </si>
  <si>
    <t>192.168.49.108</t>
  </si>
  <si>
    <t>192.168.49.109</t>
  </si>
  <si>
    <t>192.168.49.110</t>
  </si>
  <si>
    <t>192.168.49.111</t>
  </si>
  <si>
    <t>192.168.49.112</t>
  </si>
  <si>
    <t>192.168.49.114</t>
  </si>
  <si>
    <t>192.168.49.57</t>
  </si>
  <si>
    <t>192.168.49.115</t>
  </si>
  <si>
    <t>192.168.49.117</t>
  </si>
  <si>
    <t>192.168.49.119</t>
  </si>
  <si>
    <t>192.168.49.122</t>
  </si>
  <si>
    <t>192.168.49.61</t>
  </si>
  <si>
    <t>192.168.49.123</t>
  </si>
  <si>
    <t>192.168.49.62</t>
  </si>
  <si>
    <t>192.168.49.124</t>
  </si>
  <si>
    <t>192.168.49.63</t>
  </si>
  <si>
    <t>192.168.49.125</t>
  </si>
  <si>
    <t>192.168.49.126</t>
  </si>
  <si>
    <t>192.168.49.128</t>
  </si>
  <si>
    <t>192.168.49.129</t>
  </si>
  <si>
    <t>192.168.49.67</t>
  </si>
  <si>
    <t>192.168.49.130</t>
  </si>
  <si>
    <t>192.168.49.68</t>
  </si>
  <si>
    <t>192.168.49.132</t>
  </si>
  <si>
    <t>192.168.49.69</t>
  </si>
  <si>
    <t>192.168.49.133</t>
  </si>
  <si>
    <t>192.168.49.134</t>
  </si>
  <si>
    <t>192.168.49.137</t>
  </si>
  <si>
    <t>192.168.49.138</t>
  </si>
  <si>
    <t>192.168.49.139</t>
  </si>
  <si>
    <t>192.168.49.143</t>
  </si>
  <si>
    <t>192.168.49.146</t>
  </si>
  <si>
    <t>192.168.49.147</t>
  </si>
  <si>
    <t>192.168.49.148</t>
  </si>
  <si>
    <t>192.168.49.78</t>
  </si>
  <si>
    <t>192.168.49.149</t>
  </si>
  <si>
    <t>192.168.49.79</t>
  </si>
  <si>
    <t>192.168.49.150</t>
  </si>
  <si>
    <t>192.168.49.151</t>
  </si>
  <si>
    <t>192.168.49.81</t>
  </si>
  <si>
    <t>192.168.49.152</t>
  </si>
  <si>
    <t>192.168.49.153</t>
  </si>
  <si>
    <t>192.168.49.154</t>
  </si>
  <si>
    <t>192.168.49.156</t>
  </si>
  <si>
    <t>192.168.49.157</t>
  </si>
  <si>
    <t>192.168.49.159</t>
  </si>
  <si>
    <t>192.168.49.87</t>
  </si>
  <si>
    <t>192.168.49.163</t>
  </si>
  <si>
    <t>192.168.49.164</t>
  </si>
  <si>
    <t>192.168.49.165</t>
  </si>
  <si>
    <t>192.168.49.167</t>
  </si>
  <si>
    <t>192.168.49.168</t>
  </si>
  <si>
    <t>192.168.49.169</t>
  </si>
  <si>
    <t>192.168.49.171</t>
  </si>
  <si>
    <t>192.168.49.172</t>
  </si>
  <si>
    <t>192.168.49.95</t>
  </si>
  <si>
    <t>192.168.49.173</t>
  </si>
  <si>
    <t>192.168.49.96</t>
  </si>
  <si>
    <t>192.168.49.174</t>
  </si>
  <si>
    <t>192.168.49.97</t>
  </si>
  <si>
    <t>192.168.49.175</t>
  </si>
  <si>
    <t>192.168.49.98</t>
  </si>
  <si>
    <t>192.168.49.177</t>
  </si>
  <si>
    <t>192.168.49.180</t>
  </si>
  <si>
    <t>192.168.49.100</t>
  </si>
  <si>
    <t>192.168.49.181</t>
  </si>
  <si>
    <t>192.168.49.182</t>
  </si>
  <si>
    <t>192.168.49.183</t>
  </si>
  <si>
    <t>192.168.49.184</t>
  </si>
  <si>
    <t>192.168.49.104</t>
  </si>
  <si>
    <t>192.168.49.186</t>
  </si>
  <si>
    <t>192.168.49.105</t>
  </si>
  <si>
    <t>192.168.49.187</t>
  </si>
  <si>
    <t>192.168.49.190</t>
  </si>
  <si>
    <t>192.168.49.191</t>
  </si>
  <si>
    <t>192.168.49.192</t>
  </si>
  <si>
    <t>192.168.49.193</t>
  </si>
  <si>
    <t>192.168.49.199</t>
  </si>
  <si>
    <t>192.168.49.200</t>
  </si>
  <si>
    <t>192.168.49.203</t>
  </si>
  <si>
    <t>192.168.49.113</t>
  </si>
  <si>
    <t>192.168.49.204</t>
  </si>
  <si>
    <t>192.168.49.205</t>
  </si>
  <si>
    <t>192.168.49.208</t>
  </si>
  <si>
    <t>192.168.49.116</t>
  </si>
  <si>
    <t>192.168.49.212</t>
  </si>
  <si>
    <t>192.168.49.213</t>
  </si>
  <si>
    <t>192.168.49.118</t>
  </si>
  <si>
    <t>192.168.49.228</t>
  </si>
  <si>
    <t>192.168.49.244</t>
  </si>
  <si>
    <t>192.168.49.120</t>
  </si>
  <si>
    <t>192.168.49.245</t>
  </si>
  <si>
    <t>192.168.49.121</t>
  </si>
  <si>
    <t>192.168.49.246</t>
  </si>
  <si>
    <t>192.168.49.251</t>
  </si>
  <si>
    <t>192.168.49.252</t>
  </si>
  <si>
    <t>192.168.49.254</t>
  </si>
  <si>
    <t>192.168.91.7</t>
  </si>
  <si>
    <t>192.168.91.8</t>
  </si>
  <si>
    <t>192.168.49.127</t>
  </si>
  <si>
    <t>192.168.91.15</t>
  </si>
  <si>
    <t>192.168.91.46</t>
  </si>
  <si>
    <t>192.168.91.50</t>
  </si>
  <si>
    <t>192.168.91.51</t>
  </si>
  <si>
    <t>192.168.49.131</t>
  </si>
  <si>
    <t>192.168.49.135</t>
  </si>
  <si>
    <t>192.168.49.136</t>
  </si>
  <si>
    <t>192.168.49.140</t>
  </si>
  <si>
    <t>192.168.49.141</t>
  </si>
  <si>
    <t>192.168.49.142</t>
  </si>
  <si>
    <t>192.168.49.144</t>
  </si>
  <si>
    <t>192.168.49.145</t>
  </si>
  <si>
    <t>192.168.49.155</t>
  </si>
  <si>
    <t>192.168.49.158</t>
  </si>
  <si>
    <t>192.168.49.160</t>
  </si>
  <si>
    <t>192.168.49.161</t>
  </si>
  <si>
    <t>192.168.49.162</t>
  </si>
  <si>
    <t>192.168.49.166</t>
  </si>
  <si>
    <t>192.168.49.170</t>
  </si>
  <si>
    <t>192.168.49.176</t>
  </si>
  <si>
    <t>192.168.49.178</t>
  </si>
  <si>
    <t>192.168.49.179</t>
  </si>
  <si>
    <t>192.168.49.185</t>
  </si>
  <si>
    <t>192.168.49.188</t>
  </si>
  <si>
    <t>192.168.49.189</t>
  </si>
  <si>
    <t>192.168.49.194</t>
  </si>
  <si>
    <t>192.168.49.195</t>
  </si>
  <si>
    <t>192.168.49.196</t>
  </si>
  <si>
    <t>192.168.49.197</t>
  </si>
  <si>
    <t>192.168.49.198</t>
  </si>
  <si>
    <t>192.168.49.201</t>
  </si>
  <si>
    <t>192.168.49.202</t>
  </si>
  <si>
    <t>192.168.49.206</t>
  </si>
  <si>
    <t>192.168.49.207</t>
  </si>
  <si>
    <t>192.168.49.209</t>
  </si>
  <si>
    <t>192.168.49.210</t>
  </si>
  <si>
    <t>192.168.49.211</t>
  </si>
  <si>
    <t>192.168.49.214</t>
  </si>
  <si>
    <t>192.168.49.215</t>
  </si>
  <si>
    <t>192.168.49.216</t>
  </si>
  <si>
    <t>192.168.49.217</t>
  </si>
  <si>
    <t>192.168.49.218</t>
  </si>
  <si>
    <t>192.168.49.219</t>
  </si>
  <si>
    <t>192.168.49.220</t>
  </si>
  <si>
    <t>192.168.49.221</t>
  </si>
  <si>
    <t>192.168.49.222</t>
  </si>
  <si>
    <t>192.168.49.223</t>
  </si>
  <si>
    <t>192.168.49.224</t>
  </si>
  <si>
    <t>192.168.49.225</t>
  </si>
  <si>
    <t>192.168.49.226</t>
  </si>
  <si>
    <t>192.168.49.227</t>
  </si>
  <si>
    <t>192.168.49.229</t>
  </si>
  <si>
    <t>192.168.49.230</t>
  </si>
  <si>
    <t>192.168.49.231</t>
  </si>
  <si>
    <t>192.168.49.232</t>
  </si>
  <si>
    <t>192.168.49.233</t>
  </si>
  <si>
    <t>192.168.49.234</t>
  </si>
  <si>
    <t>192.168.49.235</t>
  </si>
  <si>
    <t>192.168.49.236</t>
  </si>
  <si>
    <t>192.168.49.237</t>
  </si>
  <si>
    <t>192.168.49.238</t>
  </si>
  <si>
    <t>192.168.49.239</t>
  </si>
  <si>
    <t>192.168.49.240</t>
  </si>
  <si>
    <t>192.168.49.241</t>
  </si>
  <si>
    <t>192.168.49.242</t>
  </si>
  <si>
    <t>192.168.49.243</t>
  </si>
  <si>
    <t>192.168.49.247</t>
  </si>
  <si>
    <t>192.168.49.248</t>
  </si>
  <si>
    <t>192.168.49.249</t>
  </si>
  <si>
    <t>192.168.49.250</t>
  </si>
  <si>
    <t>192.168.49.253</t>
  </si>
  <si>
    <t>192.168.49.255</t>
  </si>
  <si>
    <t>192.168.91.2</t>
  </si>
  <si>
    <t>192.168.91.3</t>
  </si>
  <si>
    <t>192.168.91.4</t>
  </si>
  <si>
    <t>192.168.91.5</t>
  </si>
  <si>
    <t>192.168.91.6</t>
  </si>
  <si>
    <t>192.168.91.9</t>
  </si>
  <si>
    <t>192.168.91.10</t>
  </si>
  <si>
    <t>192.168.91.11</t>
  </si>
  <si>
    <t>192.168.91.12</t>
  </si>
  <si>
    <t>192.168.91.13</t>
  </si>
  <si>
    <t>192.168.91.14</t>
  </si>
  <si>
    <t>192.168.91.16</t>
  </si>
  <si>
    <t>192.168.91.17</t>
  </si>
  <si>
    <t>192.168.91.18</t>
  </si>
  <si>
    <t>192.168.91.19</t>
  </si>
  <si>
    <t>192.168.91.20</t>
  </si>
  <si>
    <t>192.168.91.21</t>
  </si>
  <si>
    <t>192.168.91.22</t>
  </si>
  <si>
    <t>192.168.91.23</t>
  </si>
  <si>
    <t>192.168.91.24</t>
  </si>
  <si>
    <t>192.168.91.25</t>
  </si>
  <si>
    <t>192.168.91.26</t>
  </si>
  <si>
    <t>192.168.91.27</t>
  </si>
  <si>
    <t>192.168.91.28</t>
  </si>
  <si>
    <t>192.168.91.29</t>
  </si>
  <si>
    <t>192.168.91.30</t>
  </si>
  <si>
    <t>192.168.91.31</t>
  </si>
  <si>
    <t>192.168.91.32</t>
  </si>
  <si>
    <t>192.168.91.33</t>
  </si>
  <si>
    <t>192.168.91.34</t>
  </si>
  <si>
    <t>192.168.91.35</t>
  </si>
  <si>
    <t>192.168.91.36</t>
  </si>
  <si>
    <t>192.168.91.37</t>
  </si>
  <si>
    <t>192.168.91.38</t>
  </si>
  <si>
    <t>192.168.91.39</t>
  </si>
  <si>
    <t>192.168.91.40</t>
  </si>
  <si>
    <t>192.168.91.41</t>
  </si>
  <si>
    <t>192.168.91.42</t>
  </si>
  <si>
    <t>192.168.91.43</t>
  </si>
  <si>
    <t>192.168.91.44</t>
  </si>
  <si>
    <t>192.168.91.45</t>
  </si>
  <si>
    <t>192.168.91.47</t>
  </si>
  <si>
    <t>192.168.91.48</t>
  </si>
  <si>
    <t>192.168.91.49</t>
  </si>
  <si>
    <t>192.168.91.52</t>
  </si>
  <si>
    <t>192.168.91.53</t>
  </si>
  <si>
    <t>192.168.91.54</t>
  </si>
  <si>
    <t>192.168.91.55</t>
  </si>
  <si>
    <t>192.168.91.56</t>
  </si>
  <si>
    <t>192.168.91.57</t>
  </si>
  <si>
    <t>192.168.91.58</t>
  </si>
  <si>
    <t>192.168.91.59</t>
  </si>
  <si>
    <t>192.168.91.60</t>
  </si>
  <si>
    <t>192.168.91.61</t>
  </si>
  <si>
    <t>192.168.91.62</t>
  </si>
  <si>
    <t>192.168.91.63</t>
  </si>
  <si>
    <t>192.168.91.64</t>
  </si>
  <si>
    <t>192.168.91.65</t>
  </si>
  <si>
    <t>192.168.91.66</t>
  </si>
  <si>
    <t>192.168.91.67</t>
  </si>
  <si>
    <t>192.168.91.68</t>
  </si>
  <si>
    <t>192.168.91.69</t>
  </si>
  <si>
    <t>192.168.91.70</t>
  </si>
  <si>
    <t>192.168.91.71</t>
  </si>
  <si>
    <t>192.168.91.72</t>
  </si>
  <si>
    <t>192.168.91.73</t>
  </si>
  <si>
    <t>192.168.91.74</t>
  </si>
  <si>
    <t>192.168.91.75</t>
  </si>
  <si>
    <t>192.168.91.76</t>
  </si>
  <si>
    <t>192.168.91.77</t>
  </si>
  <si>
    <t>192.168.91.78</t>
  </si>
  <si>
    <t>192.168.91.79</t>
  </si>
  <si>
    <t>192.168.91.80</t>
  </si>
  <si>
    <t>192.168.91.81</t>
  </si>
  <si>
    <t>192.168.91.82</t>
  </si>
  <si>
    <t>192.168.91.83</t>
  </si>
  <si>
    <t>192.168.91.84</t>
  </si>
  <si>
    <t>192.168.91.85</t>
  </si>
  <si>
    <t>192.168.91.86</t>
  </si>
  <si>
    <t>192.168.91.87</t>
  </si>
  <si>
    <t>192.168.91.88</t>
  </si>
  <si>
    <t>192.168.91.89</t>
  </si>
  <si>
    <t>192.168.91.90</t>
  </si>
  <si>
    <t>192.168.91.91</t>
  </si>
  <si>
    <t>192.168.91.92</t>
  </si>
  <si>
    <t>192.168.91.93</t>
  </si>
  <si>
    <t>192.168.91.94</t>
  </si>
  <si>
    <t>192.168.91.95</t>
  </si>
  <si>
    <t>192.168.91.96</t>
  </si>
  <si>
    <t>192.168.91.97</t>
  </si>
  <si>
    <t>192.168.91.98</t>
  </si>
  <si>
    <t>192.168.91.99</t>
  </si>
  <si>
    <t>192.168.91.100</t>
  </si>
  <si>
    <t>Chassis Model/Description</t>
  </si>
  <si>
    <t>WS-C3750-24TS-S</t>
  </si>
  <si>
    <t>WS-C3750-48TS-S</t>
  </si>
  <si>
    <t>WS-C3750-24PS-S</t>
  </si>
  <si>
    <t>WS-C3750X-48PF-L</t>
  </si>
  <si>
    <t>WS-C3750E-24PD-S</t>
  </si>
  <si>
    <t>Ports</t>
  </si>
  <si>
    <t>PoE</t>
  </si>
  <si>
    <t>CAT0921R096</t>
  </si>
  <si>
    <t>FDO1834R29Q</t>
  </si>
  <si>
    <t>43207000847P</t>
  </si>
  <si>
    <t>43207000881P</t>
  </si>
  <si>
    <t>43207000877P</t>
  </si>
  <si>
    <t>A00003656</t>
  </si>
  <si>
    <t>A00003854</t>
  </si>
  <si>
    <t>A00004656</t>
  </si>
  <si>
    <t>CAT0825X16Z</t>
  </si>
  <si>
    <t>CAT0835N2P2</t>
  </si>
  <si>
    <t>CAT0835N2P6</t>
  </si>
  <si>
    <t>CAT0906Z06W</t>
  </si>
  <si>
    <t>CAT0912R0CK</t>
  </si>
  <si>
    <t>CAT0912R0CT</t>
  </si>
  <si>
    <t>CAT0913A0GF</t>
  </si>
  <si>
    <t>CAT0913R219</t>
  </si>
  <si>
    <t>CAT0921R09H</t>
  </si>
  <si>
    <t>CAT0921R0A2</t>
  </si>
  <si>
    <t>CAT0921R0AN</t>
  </si>
  <si>
    <t>CAT0921R0AU</t>
  </si>
  <si>
    <t>CAT0921R0AV</t>
  </si>
  <si>
    <t>FDO1833P096</t>
  </si>
  <si>
    <t>FDO1833P098</t>
  </si>
  <si>
    <t>FDO1833P0AJ</t>
  </si>
  <si>
    <t>FDO1833P0AL</t>
  </si>
  <si>
    <t>FDO1833P0AM</t>
  </si>
  <si>
    <t>FDO1833P0AN</t>
  </si>
  <si>
    <t>FDO1634P0VB</t>
  </si>
  <si>
    <t>FDO1705P2RX</t>
  </si>
  <si>
    <t>FDO1832Z1U6</t>
  </si>
  <si>
    <t>FDO1832Z1UE</t>
  </si>
  <si>
    <t>FDO1832Z1Z3</t>
  </si>
  <si>
    <t>FDO1538K0AK</t>
  </si>
  <si>
    <t>FDO1538K0M7</t>
  </si>
  <si>
    <t>FDO1538K0RS</t>
  </si>
  <si>
    <t>FDO1538P0SF</t>
  </si>
  <si>
    <t>FDO1538P0SG</t>
  </si>
  <si>
    <t>FDO1538P0SK</t>
  </si>
  <si>
    <t>FDO1538P0ST</t>
  </si>
  <si>
    <t>FDO1537Z0NQ</t>
  </si>
  <si>
    <t>FDO1833P0CT</t>
  </si>
  <si>
    <t>FDO1834R29G</t>
  </si>
  <si>
    <t>FDO1833Z4GP</t>
  </si>
  <si>
    <t>Paste IP</t>
  </si>
  <si>
    <t>Paste Hostnames Here</t>
  </si>
  <si>
    <t>IP to Copy and Paste as Value</t>
  </si>
  <si>
    <t>ISE Prefix</t>
  </si>
  <si>
    <t>Remove Underscores</t>
  </si>
  <si>
    <t>Strip Hostname</t>
  </si>
  <si>
    <t>Remove Leading zeros again</t>
  </si>
  <si>
    <t>Device Type/Location to Copy and Paste as Value</t>
  </si>
  <si>
    <t>Device Type#All Device Types#Switch|Location#All Locations#</t>
  </si>
  <si>
    <t>Software</t>
  </si>
  <si>
    <t>r3.5v5</t>
  </si>
  <si>
    <t>r4.2v1</t>
  </si>
  <si>
    <t>Highlighting even rows:</t>
  </si>
  <si>
    <t>Formulas</t>
  </si>
  <si>
    <t>=MOD(ROW(),2)=0</t>
  </si>
  <si>
    <t>Battery C/D</t>
  </si>
  <si>
    <t>Key Expires</t>
  </si>
  <si>
    <t>IP address with netmask (example : 192.168.221.37/29 or 192.168.221.37 255.255.255.248)</t>
  </si>
  <si>
    <t>Network Mask</t>
  </si>
  <si>
    <t>wildcard mask</t>
  </si>
  <si>
    <t>Subnet Size</t>
  </si>
  <si>
    <t>Network ID</t>
  </si>
  <si>
    <t>First Address</t>
  </si>
  <si>
    <t>Last Address</t>
  </si>
  <si>
    <t>Broadcast</t>
  </si>
  <si>
    <t>172.30.22.30/30</t>
  </si>
  <si>
    <t>IPv4 functions</t>
  </si>
  <si>
    <t>functions</t>
  </si>
  <si>
    <t>parameter1</t>
  </si>
  <si>
    <t>parameter2</t>
  </si>
  <si>
    <t>result</t>
  </si>
  <si>
    <t>comment</t>
  </si>
  <si>
    <t>IpAdd</t>
  </si>
  <si>
    <t>192.168.1.1</t>
  </si>
  <si>
    <t>add an integer to an IP</t>
  </si>
  <si>
    <t>remove an integer from an IP</t>
  </si>
  <si>
    <t>IpDiff</t>
  </si>
  <si>
    <t>192.168.2.1</t>
  </si>
  <si>
    <t>difference between to IP</t>
  </si>
  <si>
    <t>IpAnd</t>
  </si>
  <si>
    <t>255.255.255.0</t>
  </si>
  <si>
    <t>logical AND</t>
  </si>
  <si>
    <t>IpMask</t>
  </si>
  <si>
    <t>192.168.1.0/24</t>
  </si>
  <si>
    <t>Mask</t>
  </si>
  <si>
    <t>IpWildMask</t>
  </si>
  <si>
    <t>Mask à la Cisco</t>
  </si>
  <si>
    <t>IpIsPrivate</t>
  </si>
  <si>
    <t>Is the IP public or private</t>
  </si>
  <si>
    <t>IpIsInSubnet</t>
  </si>
  <si>
    <t>192.168.0.0/24</t>
  </si>
  <si>
    <t>Is an IP in a subnet</t>
  </si>
  <si>
    <t>192.168.0.5</t>
  </si>
  <si>
    <t>192.168.0.0 255.255.255.0</t>
  </si>
  <si>
    <t>IpSubnetIsInSubnet</t>
  </si>
  <si>
    <t>192.168.0.128/25</t>
  </si>
  <si>
    <t>Is a subnet included in another subnet</t>
  </si>
  <si>
    <t>192.168.0.128 255.255.255.128</t>
  </si>
  <si>
    <t>192.168.0.0/25</t>
  </si>
  <si>
    <t>IpMaskLen</t>
  </si>
  <si>
    <t>255.255.254.0</t>
  </si>
  <si>
    <t>length of a subnet mask</t>
  </si>
  <si>
    <t>IpWithoutMask</t>
  </si>
  <si>
    <t>remove the mask</t>
  </si>
  <si>
    <t>IpStrToBin</t>
  </si>
  <si>
    <t>get the binary value of an IP</t>
  </si>
  <si>
    <t>IpBinToStr</t>
  </si>
  <si>
    <t>get an IP from its binary value</t>
  </si>
  <si>
    <t>IpGetByte</t>
  </si>
  <si>
    <t>IpSubnetLen</t>
  </si>
  <si>
    <t>192.168.1.0 255.255.255.0</t>
  </si>
  <si>
    <t>IpInvertMask</t>
  </si>
  <si>
    <t>0.0.0.255</t>
  </si>
  <si>
    <t>IpIsValid</t>
  </si>
  <si>
    <t>IpClearHostBits</t>
  </si>
  <si>
    <t>192.168.1.255/25</t>
  </si>
  <si>
    <t>parameter3</t>
  </si>
  <si>
    <t>IpSetByte</t>
  </si>
  <si>
    <t>Change one byte in an IP address</t>
  </si>
  <si>
    <t>IpDivideSubnet</t>
  </si>
  <si>
    <t>192.168.0.0/23</t>
  </si>
  <si>
    <t/>
  </si>
  <si>
    <t>Example 1 : search an IP in a list of subnets</t>
  </si>
  <si>
    <t>If you have large lists of sorted and non overlapping subnets, use the "fast" option in IpSubnetMatch and IpSubnetVlookup</t>
  </si>
  <si>
    <t>my list of subnets and cities</t>
  </si>
  <si>
    <t>Paris</t>
  </si>
  <si>
    <t>Rennes</t>
  </si>
  <si>
    <t>192.168.1.0/26</t>
  </si>
  <si>
    <t>Bordeaux</t>
  </si>
  <si>
    <t>192.168.1.0/27</t>
  </si>
  <si>
    <t>Pessac</t>
  </si>
  <si>
    <t>0.0.0.0/0</t>
  </si>
  <si>
    <t>???</t>
  </si>
  <si>
    <t>IP to search :</t>
  </si>
  <si>
    <t>192.168.0.2</t>
  </si>
  <si>
    <t>result:</t>
  </si>
  <si>
    <t>City</t>
  </si>
  <si>
    <t>IP found in row</t>
  </si>
  <si>
    <t>Example 2 : find if a subnet is included in one of the subnets from the list</t>
  </si>
  <si>
    <t>Subnet to search</t>
  </si>
  <si>
    <t>192.168.0.192/26</t>
  </si>
  <si>
    <t>Example 3 : find overlapping subnets</t>
  </si>
  <si>
    <t>here is a list of subnets</t>
  </si>
  <si>
    <t xml:space="preserve">this subnet is included in </t>
  </si>
  <si>
    <t>192.168.1.64/26</t>
  </si>
  <si>
    <t>Strasbourg</t>
  </si>
  <si>
    <t>192.168.2.0/24</t>
  </si>
  <si>
    <t>Nantes</t>
  </si>
  <si>
    <t>192.168.2.0/25</t>
  </si>
  <si>
    <t>Lille</t>
  </si>
  <si>
    <t>How to sort a list of IP</t>
  </si>
  <si>
    <t>1st method</t>
  </si>
  <si>
    <t>use the function IpStrToBin() in the next column, then sort the table using this column</t>
  </si>
  <si>
    <t>192.168.1.11</t>
  </si>
  <si>
    <t>192.168.2.2</t>
  </si>
  <si>
    <t>192.168.1.3</t>
  </si>
  <si>
    <t>192.168.1.4</t>
  </si>
  <si>
    <t>192.168.100.5</t>
  </si>
  <si>
    <t>192.168.1.6</t>
  </si>
  <si>
    <t>192.168.1.77</t>
  </si>
  <si>
    <t>192.168.1.8</t>
  </si>
  <si>
    <t>192.168.1.9</t>
  </si>
  <si>
    <t>192.168.1.10</t>
  </si>
  <si>
    <t>2nd method using array formulas</t>
  </si>
  <si>
    <t>the table on the right contains one single formula that sorts the table on the left</t>
  </si>
  <si>
    <t>192.168.1.2</t>
  </si>
  <si>
    <t>How to enter an array formula ?</t>
  </si>
  <si>
    <t>select a range of empty cells</t>
  </si>
  <si>
    <t>type the formula, in this case, the formula should refer to cell range of the same size</t>
  </si>
  <si>
    <t>press Ctrl+Shift+Enter instead of Enter</t>
  </si>
  <si>
    <t>to modify an array formula, select one of the cells then press Ctrl+/ to automatically select the cell range</t>
  </si>
  <si>
    <t>then modify the formula and press Ctrl+Shift+Enter</t>
  </si>
  <si>
    <t>Subnets sort</t>
  </si>
  <si>
    <t>192.168.10.0/24</t>
  </si>
  <si>
    <t>192.168.10.128/25</t>
  </si>
  <si>
    <t>192.168.1.0/25</t>
  </si>
  <si>
    <t>Subnet sort and join</t>
  </si>
  <si>
    <t>192.168.3.0/24</t>
  </si>
  <si>
    <t>Sort IP</t>
  </si>
  <si>
    <t>Find overlapping subnets</t>
  </si>
  <si>
    <t>Sort and Summarize subnets</t>
  </si>
  <si>
    <t>IP list</t>
  </si>
  <si>
    <t>copy your subnet list below</t>
  </si>
  <si>
    <t>subnet on the left is included in</t>
  </si>
  <si>
    <t>copy your subnet or route list below</t>
  </si>
  <si>
    <t>10.0.0.0 255.255.255.0 my.next.hop.1</t>
  </si>
  <si>
    <t>10.0.1.4 255.255.255.0 my.next.hop.1</t>
  </si>
  <si>
    <t>10.0.2.0/24</t>
  </si>
  <si>
    <t>10.0.3.0/24</t>
  </si>
  <si>
    <t>192.168.2.0 255.255.255.0</t>
  </si>
  <si>
    <t>10.0.4.1/24</t>
  </si>
  <si>
    <t>10.0.4.128 255.255.255.128</t>
  </si>
  <si>
    <t>10.0.10.0/24 one route</t>
  </si>
  <si>
    <t>10.0.11.0/24 different route, can't summarize</t>
  </si>
  <si>
    <t>IP range to subnets</t>
  </si>
  <si>
    <t>Subtract subnets</t>
  </si>
  <si>
    <t>First address</t>
  </si>
  <si>
    <t>10.0.1.1</t>
  </si>
  <si>
    <t>Assigned subnets</t>
  </si>
  <si>
    <t>Used subnets</t>
  </si>
  <si>
    <t>Unused subnets</t>
  </si>
  <si>
    <t>Last address</t>
  </si>
  <si>
    <t>10.0.8.255</t>
  </si>
  <si>
    <t>10.10.0.0/22</t>
  </si>
  <si>
    <t>10.10.0.0/24</t>
  </si>
  <si>
    <t>192.168.0.0/22</t>
  </si>
  <si>
    <t xml:space="preserve">Use these formulas to generate, then </t>
  </si>
  <si>
    <t>1st</t>
  </si>
  <si>
    <t>2nd</t>
  </si>
  <si>
    <t>3rd</t>
  </si>
  <si>
    <t>4th</t>
  </si>
  <si>
    <t>1st Octet</t>
  </si>
  <si>
    <t>2nd Octet</t>
  </si>
  <si>
    <t>3rd Octet</t>
  </si>
  <si>
    <t>4th Octet</t>
  </si>
  <si>
    <t>copy and paste as value.</t>
  </si>
  <si>
    <t>*</t>
  </si>
  <si>
    <t>=ROWS($A$1:A1)&amp;".168.2.1"</t>
  </si>
  <si>
    <t>="192."&amp;ROWS($A$1:A1)&amp;".1.1"</t>
  </si>
  <si>
    <t>="192.168."&amp;ROWS($A$1:A1)&amp;".1"</t>
  </si>
  <si>
    <t>="192.168.1."&amp;ROWS($A$1:A1)</t>
  </si>
  <si>
    <t>IPv6 functions</t>
  </si>
  <si>
    <t>function</t>
  </si>
  <si>
    <t>Ipv6Expand</t>
  </si>
  <si>
    <t>2001:db8:1f89:c5a3::ac1f:8002</t>
  </si>
  <si>
    <t>::</t>
  </si>
  <si>
    <t>Ipv6Compress</t>
  </si>
  <si>
    <t>0:0:1:0:0:2:2:2</t>
  </si>
  <si>
    <t>Ipv6MaskLen</t>
  </si>
  <si>
    <t>2001:db8:1:1a0::/59</t>
  </si>
  <si>
    <t>Ipv6WithoutMask</t>
  </si>
  <si>
    <t>Ipv6IsInSubnet</t>
  </si>
  <si>
    <t>2001:db8:1:1a0::1</t>
  </si>
  <si>
    <t>2001:db8:1::/48</t>
  </si>
  <si>
    <t>2001:db8:2:1a0::1</t>
  </si>
  <si>
    <t>Ipv6ToBin</t>
  </si>
  <si>
    <t>Ipv6AddInt</t>
  </si>
  <si>
    <t>Ipv6Add</t>
  </si>
  <si>
    <t>2001:db8:1:1a0::</t>
  </si>
  <si>
    <t>::2:3</t>
  </si>
  <si>
    <t>2001:db8:1:1a0::100</t>
  </si>
  <si>
    <t>Ipv6GetBlock</t>
  </si>
  <si>
    <t>2001:db8:1f89:c5a3::ac1f:8001</t>
  </si>
  <si>
    <t>Ipv6GetBlockInt</t>
  </si>
  <si>
    <t>Ipv6GetIpv4</t>
  </si>
  <si>
    <t>2001:c0a8:102::</t>
  </si>
  <si>
    <t>Ipv6FromBin</t>
  </si>
  <si>
    <t>00100000000000010000110110111000000000000000001000000001101000000000000000000000000000000000000000000000000000000000000000000001</t>
  </si>
  <si>
    <t>Ipv6SubnetFirstAddress</t>
  </si>
  <si>
    <t>Ipv6SubnetLastAddress</t>
  </si>
  <si>
    <t>Ipv6SetBlock</t>
  </si>
  <si>
    <t>2Aa</t>
  </si>
  <si>
    <t>Ipv6SetBlockInt</t>
  </si>
  <si>
    <t>Ipv6SetIpv4</t>
  </si>
  <si>
    <t>2002::</t>
  </si>
  <si>
    <t>Ipv6SetBits</t>
  </si>
  <si>
    <t>0100</t>
  </si>
  <si>
    <t>loadMibOLD</t>
  </si>
  <si>
    <t>(</t>
  </si>
  <si>
    <t>)</t>
  </si>
  <si>
    <t>;</t>
  </si>
  <si>
    <r>
      <t>Button01Icon</t>
    </r>
    <r>
      <rPr>
        <sz val="11"/>
        <color rgb="FFD4D4D4"/>
        <rFont val="Consolas"/>
        <family val="3"/>
      </rPr>
      <t>=onenote</t>
    </r>
  </si>
  <si>
    <r>
      <t>Button01StrExec</t>
    </r>
    <r>
      <rPr>
        <sz val="11"/>
        <color rgb="FFD4D4D4"/>
        <rFont val="Consolas"/>
        <family val="3"/>
      </rPr>
      <t>=onenote.exe</t>
    </r>
  </si>
  <si>
    <r>
      <t>Button01ToolTip</t>
    </r>
    <r>
      <rPr>
        <sz val="11"/>
        <color rgb="FFD4D4D4"/>
        <rFont val="Consolas"/>
        <family val="3"/>
      </rPr>
      <t>=Notebook</t>
    </r>
  </si>
  <si>
    <t>pathMibFolder</t>
  </si>
  <si>
    <t xml:space="preserve"> + </t>
  </si>
  <si>
    <t>ALTASEC-HAIPE-V4-MIB</t>
  </si>
  <si>
    <t>ALTASEC-MIB</t>
  </si>
  <si>
    <t>VIASAT-PRODUCT-MIB</t>
  </si>
  <si>
    <t>AN0021-RM22</t>
  </si>
  <si>
    <t>AN0021-RM23</t>
  </si>
  <si>
    <t>AN0021-RM24</t>
  </si>
  <si>
    <t>AN0021-RM25</t>
  </si>
  <si>
    <t>AN0021-RM26</t>
  </si>
  <si>
    <t>AN0021-RM27</t>
  </si>
  <si>
    <t>AN0021-RM28</t>
  </si>
  <si>
    <t>AN0021-RM29</t>
  </si>
  <si>
    <t>AN0021-RM30</t>
  </si>
  <si>
    <t>AN0021-RM31</t>
  </si>
  <si>
    <t>AN0021-RM32</t>
  </si>
  <si>
    <t>AN0021-RM33</t>
  </si>
  <si>
    <t>Person1</t>
  </si>
  <si>
    <t>Person2</t>
  </si>
  <si>
    <t>Person3</t>
  </si>
  <si>
    <t>Person4</t>
  </si>
  <si>
    <t>Person5</t>
  </si>
  <si>
    <t>Person6</t>
  </si>
  <si>
    <t>Person7</t>
  </si>
  <si>
    <t>Person8</t>
  </si>
  <si>
    <t>Person9</t>
  </si>
  <si>
    <t>Person10</t>
  </si>
  <si>
    <t>Person11</t>
  </si>
  <si>
    <t>Person12</t>
  </si>
  <si>
    <t>Person13</t>
  </si>
  <si>
    <t>Inventory Serial #'s</t>
  </si>
  <si>
    <t>Paste Serials Here to Compare</t>
  </si>
  <si>
    <t>In Serial Column? (DO NOT MODIFY CODE</t>
  </si>
  <si>
    <t>Paste Network Serial Scan Results here</t>
  </si>
  <si>
    <t>Cell # in Scan Column</t>
  </si>
  <si>
    <t>Sorted to Match "Inventory Serial #" Column if found</t>
  </si>
  <si>
    <t>FHG1334R01N</t>
  </si>
  <si>
    <t>CAT1109RHQ3</t>
  </si>
  <si>
    <t>7236022699</t>
  </si>
  <si>
    <t>CAT0919Z0V9</t>
  </si>
  <si>
    <t>FHG1334R01Q</t>
  </si>
  <si>
    <t>CAT0849R02W</t>
  </si>
  <si>
    <t>CAT0849R031</t>
  </si>
  <si>
    <t>CAT0902X1G6</t>
  </si>
  <si>
    <t>CAT0903K0RT</t>
  </si>
  <si>
    <t>CAT0905R0Z3</t>
  </si>
  <si>
    <t>CAT0905R0Z4</t>
  </si>
  <si>
    <t>CAT0905R0Z6</t>
  </si>
  <si>
    <t>CAT0905R0ZC</t>
  </si>
  <si>
    <t>CAT0905R0ZG</t>
  </si>
  <si>
    <t>CAT0905X199</t>
  </si>
  <si>
    <t>CAT0905X19A</t>
  </si>
  <si>
    <t>CAT0905X19Q</t>
  </si>
  <si>
    <t>CAT0905X19Z</t>
  </si>
  <si>
    <t>CAT0905Z1SC</t>
  </si>
  <si>
    <t>CAT0906X1DK</t>
  </si>
  <si>
    <t>CAT0906X1DL</t>
  </si>
  <si>
    <t>CAT0906X1DU</t>
  </si>
  <si>
    <t>CAT0906X1DV</t>
  </si>
  <si>
    <t>CAT0906X1E0</t>
  </si>
  <si>
    <t>CAT0906Z022</t>
  </si>
  <si>
    <t>CAT0906Z02E</t>
  </si>
  <si>
    <t>CAT0906Z02J</t>
  </si>
  <si>
    <t>CAT0906Z02L</t>
  </si>
  <si>
    <t>CAT0906Z02Q</t>
  </si>
  <si>
    <t>CAT0906Z02S</t>
  </si>
  <si>
    <t>CAT0906Z02U</t>
  </si>
  <si>
    <t>CAT0906Z02Y</t>
  </si>
  <si>
    <t>CAT0906Z033</t>
  </si>
  <si>
    <t>CAT0906Z039</t>
  </si>
  <si>
    <t>CAT0906Z03C</t>
  </si>
  <si>
    <t>CAT0906Z04T</t>
  </si>
  <si>
    <t>CAT0906Z06D</t>
  </si>
  <si>
    <t>CAT0913R222</t>
  </si>
  <si>
    <t>CAT0913R227</t>
  </si>
  <si>
    <t>CAT0913R228</t>
  </si>
  <si>
    <t>CAT0913R22E</t>
  </si>
  <si>
    <t>CAT0913R22P</t>
  </si>
  <si>
    <t>CAT0913R22W</t>
  </si>
  <si>
    <t>CAT0913R238</t>
  </si>
  <si>
    <t>CAT0913R239</t>
  </si>
  <si>
    <t>CAT0914X163</t>
  </si>
  <si>
    <t>CAT0914X168</t>
  </si>
  <si>
    <t>CAT0914X16D</t>
  </si>
  <si>
    <t>CAT0919K21B</t>
  </si>
  <si>
    <t>CAT0919K229</t>
  </si>
  <si>
    <t>CAT0919Z0SX</t>
  </si>
  <si>
    <t>CAT0919Z0TZ</t>
  </si>
  <si>
    <t>CAT0919Z0UB</t>
  </si>
  <si>
    <t>CAT0919Z0UC</t>
  </si>
  <si>
    <t>CAT0919Z0UE</t>
  </si>
  <si>
    <t>CAT0919Z0UT</t>
  </si>
  <si>
    <t>CAT0919Z0V4</t>
  </si>
  <si>
    <t>CAT0919Z0VJ</t>
  </si>
  <si>
    <t>CAT0919Z0VK</t>
  </si>
  <si>
    <t>CAT0919Z0VN</t>
  </si>
  <si>
    <t>CAT0919Z0VV</t>
  </si>
  <si>
    <t>CAT0919Z0W7</t>
  </si>
  <si>
    <t>CAT0919Z0W9</t>
  </si>
  <si>
    <t>CAT0920X26X</t>
  </si>
  <si>
    <t>CAT0920X28W</t>
  </si>
  <si>
    <t>CAT0920X291</t>
  </si>
  <si>
    <t>CAT0920Z22T</t>
  </si>
  <si>
    <t>CAT0921N0KY</t>
  </si>
  <si>
    <t>CAT0921N0L6</t>
  </si>
  <si>
    <t>CAT0921N0LL</t>
  </si>
  <si>
    <t>CAT0921N0LM</t>
  </si>
  <si>
    <t>CAT0921N0LV</t>
  </si>
  <si>
    <t>CAT0921N0M6</t>
  </si>
  <si>
    <t>CAT0921R05X</t>
  </si>
  <si>
    <t>CAT0921R0AP</t>
  </si>
  <si>
    <t>CAT0921R0B2</t>
  </si>
  <si>
    <t>CAT0921R0BR</t>
  </si>
  <si>
    <t>CAT0921R0C7</t>
  </si>
  <si>
    <t>CAT0921R0CD</t>
  </si>
  <si>
    <t>CAT0921R0CG</t>
  </si>
  <si>
    <t>CAT0921R0CH</t>
  </si>
  <si>
    <t>CAT0921R0CS</t>
  </si>
  <si>
    <t>CAT0921R0D7</t>
  </si>
  <si>
    <t>CAT0921R0DB</t>
  </si>
  <si>
    <t>CAT0921R0DF</t>
  </si>
  <si>
    <t>CAT0921R0DM</t>
  </si>
  <si>
    <t>CAT0921R0DN</t>
  </si>
  <si>
    <t>CAT0921R0DP</t>
  </si>
  <si>
    <t>CAT0921R0DX</t>
  </si>
  <si>
    <t>CAT0921R0F9</t>
  </si>
  <si>
    <t>CAT0921R0FC</t>
  </si>
  <si>
    <t>CAT0925R2MY</t>
  </si>
  <si>
    <t>CAT0925R2N5</t>
  </si>
  <si>
    <t>CAT0925R2NM</t>
  </si>
  <si>
    <t>CAT0925R2NQ</t>
  </si>
  <si>
    <t>CAT0925R2NT</t>
  </si>
  <si>
    <t>CAT0925R2PB</t>
  </si>
  <si>
    <t>CAT0947N3GD</t>
  </si>
  <si>
    <t>CAT0947N3GW</t>
  </si>
  <si>
    <t>CAT0947R3Y8</t>
  </si>
  <si>
    <t>CAT0947R404</t>
  </si>
  <si>
    <t>CAT0949R0QG</t>
  </si>
  <si>
    <t>CAT0949R0R4</t>
  </si>
  <si>
    <t>CAT0949R0R9</t>
  </si>
  <si>
    <t>CAT0949R0RS</t>
  </si>
  <si>
    <t>CAT0949R0SV</t>
  </si>
  <si>
    <t>CAT0949R0T1</t>
  </si>
  <si>
    <t>CAT1003N1GM</t>
  </si>
  <si>
    <t>CAT1003N1HE</t>
  </si>
  <si>
    <t>CAT1003N1HG</t>
  </si>
  <si>
    <t>CAT1003R1RC</t>
  </si>
  <si>
    <t>CAT1006R05H</t>
  </si>
  <si>
    <t>CAT1006R075</t>
  </si>
  <si>
    <t>CAT1006R07B</t>
  </si>
  <si>
    <t>CAT1006R07C</t>
  </si>
  <si>
    <t>CAT1007N2SM</t>
  </si>
  <si>
    <t>CAT1007N2SQ</t>
  </si>
  <si>
    <t>CAT1007N2SS</t>
  </si>
  <si>
    <t>CAT1007N2SU</t>
  </si>
  <si>
    <t>CAT1007N2SW</t>
  </si>
  <si>
    <t>CAT1007N2SZ</t>
  </si>
  <si>
    <t>CAT1007N2T5</t>
  </si>
  <si>
    <t>CAT1009R1A4</t>
  </si>
  <si>
    <t>CAT1032RHGA</t>
  </si>
  <si>
    <t>CAT1041RG71</t>
  </si>
  <si>
    <t>CAT1109NGRC</t>
  </si>
  <si>
    <t>CAT1109NGW9</t>
  </si>
  <si>
    <t>CAT1109NGWE</t>
  </si>
  <si>
    <t>CAT1109NGWM</t>
  </si>
  <si>
    <t>CAT1109NGWT</t>
  </si>
  <si>
    <t>CAT1109RHQ1</t>
  </si>
  <si>
    <t>CAT1109RHQ4</t>
  </si>
  <si>
    <t>CAT1109RHQ9</t>
  </si>
  <si>
    <t>CAT1109RHQP</t>
  </si>
  <si>
    <t>CAT1109RHSA</t>
  </si>
  <si>
    <t>CAT1109RHST</t>
  </si>
  <si>
    <t>CAT1109RHTT</t>
  </si>
  <si>
    <t>CAT1109RHTV</t>
  </si>
  <si>
    <t>CAT1109RHTZ</t>
  </si>
  <si>
    <t>CAT1109RHUM</t>
  </si>
  <si>
    <t>CAT1109ZGVN</t>
  </si>
  <si>
    <t>CAT1109ZGXF</t>
  </si>
  <si>
    <t>FDO1129Z877</t>
  </si>
  <si>
    <t>FDO1207Z37Q</t>
  </si>
  <si>
    <t>FDO1240Y5XR</t>
  </si>
  <si>
    <t>FDO1244Z0QN</t>
  </si>
  <si>
    <t>FDO1437Z0PR</t>
  </si>
  <si>
    <t>FDO1437Z0PV</t>
  </si>
  <si>
    <t>FDO1437Z0Q1</t>
  </si>
  <si>
    <t>FDO1438K01E</t>
  </si>
  <si>
    <t>FDO1439P1EL</t>
  </si>
  <si>
    <t>FDO1440P16P</t>
  </si>
  <si>
    <t>FDO1516R1BU</t>
  </si>
  <si>
    <t>FDO1536K05F</t>
  </si>
  <si>
    <t>FDO1536V1PK</t>
  </si>
  <si>
    <t>FDO1536V1QW</t>
  </si>
  <si>
    <t>FDO1536V1R0</t>
  </si>
  <si>
    <t>FDO1536V1RH</t>
  </si>
  <si>
    <t>FDO1536Z10S</t>
  </si>
  <si>
    <t>FDO1537V14Q</t>
  </si>
  <si>
    <t>FDO1537V14R</t>
  </si>
  <si>
    <t>FDO1537V14Z</t>
  </si>
  <si>
    <t>FDO1537V152</t>
  </si>
  <si>
    <t>FDO1537V156</t>
  </si>
  <si>
    <t>FDO1537V15C</t>
  </si>
  <si>
    <t>FDO1537V15D</t>
  </si>
  <si>
    <t>FDO1537V15E</t>
  </si>
  <si>
    <t>FDO1537V15J</t>
  </si>
  <si>
    <t>FDO1537V15Y</t>
  </si>
  <si>
    <t>FDO1537V160</t>
  </si>
  <si>
    <t>FDO1537V165</t>
  </si>
  <si>
    <t>FDO1537V166</t>
  </si>
  <si>
    <t>FDO1537V168</t>
  </si>
  <si>
    <t>FDO1537Z0L9</t>
  </si>
  <si>
    <t>FDO1537Z0NH</t>
  </si>
  <si>
    <t>FDO1537Z0NK</t>
  </si>
  <si>
    <t>FDO1537Z0NP</t>
  </si>
  <si>
    <t>FDO1538K0S2</t>
  </si>
  <si>
    <t>FDO1538K0S6</t>
  </si>
  <si>
    <t>FDO1538K0S7</t>
  </si>
  <si>
    <t>FDO1538P0PR</t>
  </si>
  <si>
    <t>FDO1538P0PT</t>
  </si>
  <si>
    <t>FDO1538P0RZ</t>
  </si>
  <si>
    <t>FDO1538P0S1</t>
  </si>
  <si>
    <t>FDO1538P0S2</t>
  </si>
  <si>
    <t>FDO1538P0SE</t>
  </si>
  <si>
    <t>FDO1538P0SU</t>
  </si>
  <si>
    <t>FDO1538P0SV</t>
  </si>
  <si>
    <t>FDO1538P0SX</t>
  </si>
  <si>
    <t>FDO1538P0SZ</t>
  </si>
  <si>
    <t>FDO1538P0T2</t>
  </si>
  <si>
    <t>FDO1538P0T3</t>
  </si>
  <si>
    <t>FDO1538P0TC</t>
  </si>
  <si>
    <t>FDO1538R0UU</t>
  </si>
  <si>
    <t>FDO1538R0V3</t>
  </si>
  <si>
    <t>FDO1538R0V4</t>
  </si>
  <si>
    <t>FDO1538R0V6</t>
  </si>
  <si>
    <t>FDO1611P0CG</t>
  </si>
  <si>
    <t>FDO1611V0CP</t>
  </si>
  <si>
    <t>FDO1619R2JR</t>
  </si>
  <si>
    <t>FDO1619Z1BR</t>
  </si>
  <si>
    <t>FDO1634P0U3</t>
  </si>
  <si>
    <t>FDO1634P0V2</t>
  </si>
  <si>
    <t>FDO1832Z1Z9</t>
  </si>
  <si>
    <t>FDO1832Z1ZB</t>
  </si>
  <si>
    <t>FDO1832Z1ZD</t>
  </si>
  <si>
    <t>FDO1832Z1ZE</t>
  </si>
  <si>
    <t>FDO1833H00V</t>
  </si>
  <si>
    <t>FDO1833P0AY</t>
  </si>
  <si>
    <t>FDO1833P0AZ</t>
  </si>
  <si>
    <t>FDO1833P0B1</t>
  </si>
  <si>
    <t>FDO1833P0B3</t>
  </si>
  <si>
    <t>FDO1833P0B4</t>
  </si>
  <si>
    <t>FDO1833P0B5</t>
  </si>
  <si>
    <t>FDO1833P0B8</t>
  </si>
  <si>
    <t>FDO1833P0BK</t>
  </si>
  <si>
    <t>FDO1833P0CL</t>
  </si>
  <si>
    <t>FDO1833P0CQ</t>
  </si>
  <si>
    <t>FDO1833P0CR</t>
  </si>
  <si>
    <t>FDO1833P0CU</t>
  </si>
  <si>
    <t>FDO1833P0CV</t>
  </si>
  <si>
    <t>FDO1833P0CW</t>
  </si>
  <si>
    <t>FDO1833P0CX</t>
  </si>
  <si>
    <t>FDO1833P0D1</t>
  </si>
  <si>
    <t>FDO1833P0D2</t>
  </si>
  <si>
    <t>FDO1833P0D3</t>
  </si>
  <si>
    <t>FDO1833P0EJ</t>
  </si>
  <si>
    <t>FDO1833Z10L</t>
  </si>
  <si>
    <t>FDO1833Z10U</t>
  </si>
  <si>
    <t>FDO1833Z11M</t>
  </si>
  <si>
    <t>FDO1833Z11Z</t>
  </si>
  <si>
    <t>FDO1833Z12E</t>
  </si>
  <si>
    <t>FDO1833Z130</t>
  </si>
  <si>
    <t>FDO1833Z133</t>
  </si>
  <si>
    <t>FDO1833Z134</t>
  </si>
  <si>
    <t>FDO1833Z3A0</t>
  </si>
  <si>
    <t>FDO1833Z4GQ</t>
  </si>
  <si>
    <t>FDO1833Z4GS</t>
  </si>
  <si>
    <t>FDO1833Z4GU</t>
  </si>
  <si>
    <t>FDO1833Z4GV</t>
  </si>
  <si>
    <t>FDO1833Z4GX</t>
  </si>
  <si>
    <t>FDO1833Z4HS</t>
  </si>
  <si>
    <t>FDO1833Z4HU</t>
  </si>
  <si>
    <t>FDO1834H02A</t>
  </si>
  <si>
    <t>FDO1834P009</t>
  </si>
  <si>
    <t>FDO1834P00S</t>
  </si>
  <si>
    <t>FDO1834P038</t>
  </si>
  <si>
    <t>FDO1834P03V</t>
  </si>
  <si>
    <t>FDO1834R1UU</t>
  </si>
  <si>
    <t>FDO1834R21T</t>
  </si>
  <si>
    <t>FDO1834R22E</t>
  </si>
  <si>
    <t>FDO1834R230</t>
  </si>
  <si>
    <t>FDO1834R25L</t>
  </si>
  <si>
    <t>FDO1834R25W</t>
  </si>
  <si>
    <t>FDO1834R25Y</t>
  </si>
  <si>
    <t>FDO1834R28U</t>
  </si>
  <si>
    <t>FDO1834R28W</t>
  </si>
  <si>
    <t>FDO1834R298</t>
  </si>
  <si>
    <t>FDO1834R29U</t>
  </si>
  <si>
    <t>FDO1834Z147</t>
  </si>
  <si>
    <t>FDO1834Z178</t>
  </si>
  <si>
    <t>FDO1834Z1BX</t>
  </si>
  <si>
    <t>FDO1834Z1EB</t>
  </si>
  <si>
    <t>FDO1834Z1EZ</t>
  </si>
  <si>
    <t>FDO1834Z1F0</t>
  </si>
  <si>
    <t>FDO1834Z1FA</t>
  </si>
  <si>
    <t>FDO1834Z1FV</t>
  </si>
  <si>
    <t>FDO1834Z1FW</t>
  </si>
  <si>
    <t>FDO1834Z1FZ</t>
  </si>
  <si>
    <t>FDO1834Z1G8</t>
  </si>
  <si>
    <t>FDO1834Z1G9</t>
  </si>
  <si>
    <t>FDO1835H12H</t>
  </si>
  <si>
    <t>FDO1835H12S</t>
  </si>
  <si>
    <t>FDO1835H13D</t>
  </si>
  <si>
    <t>FDO1835H157</t>
  </si>
  <si>
    <t>FDO1835H15A</t>
  </si>
  <si>
    <t>FDO1835H164</t>
  </si>
  <si>
    <t>FDO1835H16F</t>
  </si>
  <si>
    <t>FDO1835H16Q</t>
  </si>
  <si>
    <t>FDO1835H16R</t>
  </si>
  <si>
    <t>FDO1835H16S</t>
  </si>
  <si>
    <t>FDO1835H16T</t>
  </si>
  <si>
    <t>FDO1835H16U</t>
  </si>
  <si>
    <t>FDO1835H16W</t>
  </si>
  <si>
    <t>FDO1835P182</t>
  </si>
  <si>
    <t>FDO1835P186</t>
  </si>
  <si>
    <t>FDO1835P1C0</t>
  </si>
  <si>
    <t>FDO1835P1C1</t>
  </si>
  <si>
    <t>FDO1836P002</t>
  </si>
  <si>
    <t>FDO1836P003</t>
  </si>
  <si>
    <t>FDO1836P00K</t>
  </si>
  <si>
    <t>FDO1836R1F8</t>
  </si>
  <si>
    <t>FDO1836R1FA</t>
  </si>
  <si>
    <t>FDO1836R1FB</t>
  </si>
  <si>
    <t>FDO1836R1FD</t>
  </si>
  <si>
    <t>FDO1836R1FE</t>
  </si>
  <si>
    <t>FDO1836R1FF</t>
  </si>
  <si>
    <t>FDO1836R1FQ</t>
  </si>
  <si>
    <t>FDO1836R1G2</t>
  </si>
  <si>
    <t>FDO1836R1G3</t>
  </si>
  <si>
    <t>FDO1836R1G5</t>
  </si>
  <si>
    <t>FDO1836R1G7</t>
  </si>
  <si>
    <t>FDO1836R1G8</t>
  </si>
  <si>
    <t>FDO1836R1G9</t>
  </si>
  <si>
    <t>FDO1836R1GA</t>
  </si>
  <si>
    <t>FDO1836R1GB</t>
  </si>
  <si>
    <t>FDO1836R1GC</t>
  </si>
  <si>
    <t>FDO1836R1GE</t>
  </si>
  <si>
    <t>FDO1836R1GF</t>
  </si>
  <si>
    <t>FDO1836R1GG</t>
  </si>
  <si>
    <t>FDO1836R1GJ</t>
  </si>
  <si>
    <t>FDO1836R1GK</t>
  </si>
  <si>
    <t>FDO1836R1GM</t>
  </si>
  <si>
    <t>FDO1836R1GN</t>
  </si>
  <si>
    <t>FDO1836R1GQ</t>
  </si>
  <si>
    <t>FDO1836R1GR</t>
  </si>
  <si>
    <t>FDO1836R1GU</t>
  </si>
  <si>
    <t>FDO1836R1GV</t>
  </si>
  <si>
    <t>FDO1836R1GW</t>
  </si>
  <si>
    <t>FDO1836R1GX</t>
  </si>
  <si>
    <t>FDO1836R1GY</t>
  </si>
  <si>
    <t>FDO1836R1H1</t>
  </si>
  <si>
    <t>FDO1836R1H4</t>
  </si>
  <si>
    <t>FDO1836R1H5</t>
  </si>
  <si>
    <t>FDO1836R1H6</t>
  </si>
  <si>
    <t>FDO1836R1HC</t>
  </si>
  <si>
    <t>FDO1836R1HF</t>
  </si>
  <si>
    <t>FDO1836R1HG</t>
  </si>
  <si>
    <t>FDO1836R1HH</t>
  </si>
  <si>
    <t>FDO1836R1HQ</t>
  </si>
  <si>
    <t>FDO1836R1HT</t>
  </si>
  <si>
    <t>FDO1836R1HU</t>
  </si>
  <si>
    <t>FDO1838R25Z</t>
  </si>
  <si>
    <t>FDO1838R2HQ</t>
  </si>
  <si>
    <t>FDO1838R2HS</t>
  </si>
  <si>
    <t>FDO1838R2HT</t>
  </si>
  <si>
    <t>FDO1838R2HU</t>
  </si>
  <si>
    <t>FDO1838R2KF</t>
  </si>
  <si>
    <t>FDO1838R2L3</t>
  </si>
  <si>
    <t>FDO1838R2L7</t>
  </si>
  <si>
    <t>FDO1838R2LA</t>
  </si>
  <si>
    <t>FDO1838R2LH</t>
  </si>
  <si>
    <t>FDO1838R2LZ</t>
  </si>
  <si>
    <t>FDO1838R2M4</t>
  </si>
  <si>
    <t>FDO1838R2MD</t>
  </si>
  <si>
    <t>FDO1838R2MH</t>
  </si>
  <si>
    <t>FDO1838R2MM</t>
  </si>
  <si>
    <t>FDO1838R2MN</t>
  </si>
  <si>
    <t>FDO1838R2MP</t>
  </si>
  <si>
    <t>FDO1838R2MU</t>
  </si>
  <si>
    <t>FDO1838R2N3</t>
  </si>
  <si>
    <t>FDO1838R2N6</t>
  </si>
  <si>
    <t>FDO1838R2N7</t>
  </si>
  <si>
    <t>FDO1838R2N8</t>
  </si>
  <si>
    <t>FDO1838R2N9</t>
  </si>
  <si>
    <t>FDO1838R2NA</t>
  </si>
  <si>
    <t>FDO1838R2NB</t>
  </si>
  <si>
    <t>FDO1838R2ND</t>
  </si>
  <si>
    <t>FDO1838R2NF</t>
  </si>
  <si>
    <t>FDO1838R2NG</t>
  </si>
  <si>
    <t>FDO1838R2NK</t>
  </si>
  <si>
    <t>FDO1838R2NL</t>
  </si>
  <si>
    <t>FDO1838R2NT</t>
  </si>
  <si>
    <t>FDO1838R2NX</t>
  </si>
  <si>
    <t>FDO1838R2NZ</t>
  </si>
  <si>
    <t>FDO1838R2P2</t>
  </si>
  <si>
    <t>FDO1838R2P4</t>
  </si>
  <si>
    <t>FDO1838R2P5</t>
  </si>
  <si>
    <t>FDO1838R2P6</t>
  </si>
  <si>
    <t>FDO1838R2P8</t>
  </si>
  <si>
    <t>FDO1838R2P9</t>
  </si>
  <si>
    <t>FDO1838R2PA</t>
  </si>
  <si>
    <t>FDO1838R2PB</t>
  </si>
  <si>
    <t>FDO1838R2PC</t>
  </si>
  <si>
    <t>FDO1838R2PD</t>
  </si>
  <si>
    <t>FDO1838R2PF</t>
  </si>
  <si>
    <t>FDO1838R2PG</t>
  </si>
  <si>
    <t>FDO1838R2PJ</t>
  </si>
  <si>
    <t>FDO1838R2PK</t>
  </si>
  <si>
    <t>FDO1838R2PN</t>
  </si>
  <si>
    <t>FDO1838R2PQ</t>
  </si>
  <si>
    <t>FDO1838R2PS</t>
  </si>
  <si>
    <t>FDO1838R2PU</t>
  </si>
  <si>
    <t>FDO1838R2PW</t>
  </si>
  <si>
    <t>FDO1838R2PX</t>
  </si>
  <si>
    <t>FDO1838R2PY</t>
  </si>
  <si>
    <t>FDO1838R2Q2</t>
  </si>
  <si>
    <t>FDO1838R2Q4</t>
  </si>
  <si>
    <t>FDO1838R2Q6</t>
  </si>
  <si>
    <t>FDO1838R2Q7</t>
  </si>
  <si>
    <t>FDO1838R2Q8</t>
  </si>
  <si>
    <t>FDO1838R2Q9</t>
  </si>
  <si>
    <t>FDO1838R2QF</t>
  </si>
  <si>
    <t>FHG1334R00W</t>
  </si>
  <si>
    <t>FHG1334R00X</t>
  </si>
  <si>
    <t>FHG1334R00Y</t>
  </si>
  <si>
    <t>FHG1334R00Z</t>
  </si>
  <si>
    <t>FHG1334R017</t>
  </si>
  <si>
    <t>FHG1334R01H</t>
  </si>
  <si>
    <t>FHG1334R01J</t>
  </si>
  <si>
    <t>FHG1334R01K</t>
  </si>
  <si>
    <t>FHG1334R01P</t>
  </si>
  <si>
    <t>FHG1334R01Z</t>
  </si>
  <si>
    <t>FHG1334R021</t>
  </si>
  <si>
    <t>FHG1334R024</t>
  </si>
  <si>
    <t>FHG1334R025</t>
  </si>
  <si>
    <t>FHG1334R028</t>
  </si>
  <si>
    <t>FHG1334R029</t>
  </si>
  <si>
    <t>FHG1334R02A</t>
  </si>
  <si>
    <t>FHG1334R02B</t>
  </si>
  <si>
    <t>FHG1334R02K</t>
  </si>
  <si>
    <t>FHG1334R02L</t>
  </si>
  <si>
    <t>FHG1334R02M</t>
  </si>
  <si>
    <t>FHG1334R02N</t>
  </si>
  <si>
    <t>FHG1334R02P</t>
  </si>
  <si>
    <t>FHG1334R038</t>
  </si>
  <si>
    <t>FHG1334R03C</t>
  </si>
  <si>
    <t>FHG1334R03T</t>
  </si>
  <si>
    <t>FHK1243Z07C</t>
  </si>
  <si>
    <t>FOC1050Y1D3</t>
  </si>
  <si>
    <t>FOC1123W26X</t>
  </si>
  <si>
    <t>FOC1123W2FN</t>
  </si>
  <si>
    <t>FOC1123Z7XY</t>
  </si>
  <si>
    <t>FOC1123Z7Y4</t>
  </si>
  <si>
    <t>FOC1123Z7YD</t>
  </si>
  <si>
    <t>FOC1123Z7YK</t>
  </si>
  <si>
    <t>FOC1123Z7ZL</t>
  </si>
  <si>
    <t>FOC1123Z7ZW</t>
  </si>
  <si>
    <t>FOC1126W06Y</t>
  </si>
  <si>
    <t>FOC1130Z7B0</t>
  </si>
  <si>
    <t>FOC1130Z7EC</t>
  </si>
  <si>
    <t>FOC1212Z269</t>
  </si>
  <si>
    <t>FOC1215Z0W3</t>
  </si>
  <si>
    <t>FOC1225W69F</t>
  </si>
  <si>
    <t>FOC1226V439</t>
  </si>
  <si>
    <t>FOC1228W1JP</t>
  </si>
  <si>
    <t>FOC1234Z0BW</t>
  </si>
  <si>
    <t>FOC1307Y0FT</t>
  </si>
  <si>
    <t>FOC1329H03A</t>
  </si>
  <si>
    <t>FOC1331H09K</t>
  </si>
  <si>
    <t>FOC1333H056</t>
  </si>
  <si>
    <t>FOC1333H06W</t>
  </si>
  <si>
    <t>FOC1333W1YS</t>
  </si>
  <si>
    <t>FOC1337Z2BC</t>
  </si>
  <si>
    <t>FOC1405V29J</t>
  </si>
  <si>
    <t>FOC1405V2AF</t>
  </si>
  <si>
    <t>FOC1406V1WS</t>
  </si>
  <si>
    <t>FOC1416V051</t>
  </si>
  <si>
    <t>FOC1437V0WH</t>
  </si>
  <si>
    <t>FOC1437V0XM</t>
  </si>
  <si>
    <t>FOC1437V0YB</t>
  </si>
  <si>
    <t>FOC1437V0Z3</t>
  </si>
  <si>
    <t>FOC1437V0ZE</t>
  </si>
  <si>
    <t>FOC1437V0ZL</t>
  </si>
  <si>
    <t>FOC1437V100</t>
  </si>
  <si>
    <t>FOC1437V10B</t>
  </si>
  <si>
    <t>FOC1437V1HH</t>
  </si>
  <si>
    <t>FOC1442V063</t>
  </si>
  <si>
    <t>FOC1444V3CV</t>
  </si>
  <si>
    <t>FOC1444V3D8</t>
  </si>
  <si>
    <t>FOC1508V5GM</t>
  </si>
  <si>
    <t>FOT1526W00W</t>
  </si>
  <si>
    <t>FOT1526W018</t>
  </si>
  <si>
    <t>FOT1526W019</t>
  </si>
  <si>
    <t>FOT1526W01B</t>
  </si>
  <si>
    <t>FOT1526W01E</t>
  </si>
  <si>
    <t>FOT1526W02E</t>
  </si>
  <si>
    <t>FOT1526W02G</t>
  </si>
  <si>
    <t>FOT1526W02W</t>
  </si>
  <si>
    <t>FOT1526W02Z</t>
  </si>
  <si>
    <t>FOX084102CC</t>
  </si>
  <si>
    <t>FOX091701MP</t>
  </si>
  <si>
    <t>FOX091701VY</t>
  </si>
  <si>
    <t>FOX1434G0UK</t>
  </si>
  <si>
    <t>FOX1521GYY1</t>
  </si>
  <si>
    <t>FOX1521H8M7</t>
  </si>
  <si>
    <t>FOX1521H8PP</t>
  </si>
  <si>
    <t>FOX1524GV0B</t>
  </si>
  <si>
    <t>FOX1524GV0E</t>
  </si>
  <si>
    <t>FOX1524GV0J</t>
  </si>
  <si>
    <t>FTX1006C1VH</t>
  </si>
  <si>
    <t>FTX1006C1VJ</t>
  </si>
  <si>
    <t>FTX1142A4HL</t>
  </si>
  <si>
    <t>FTX1142A4HQ</t>
  </si>
  <si>
    <t>FTX1320AHDL</t>
  </si>
  <si>
    <t>JMX1333Z0MH</t>
  </si>
  <si>
    <t>MXQ804A3V9</t>
  </si>
  <si>
    <t>MXQ804A3VK</t>
  </si>
  <si>
    <t>MXQ804A3VM</t>
  </si>
  <si>
    <t>MXQ804A3VR</t>
  </si>
  <si>
    <t>MXQ805A12M</t>
  </si>
  <si>
    <t>MXQ805A12T</t>
  </si>
  <si>
    <t>MXQ805A12V</t>
  </si>
  <si>
    <t>MXQ805A134</t>
  </si>
  <si>
    <t>MXQ936A6H7</t>
  </si>
  <si>
    <t>QCN2047001B</t>
  </si>
  <si>
    <t>QMNCWT6160046</t>
  </si>
  <si>
    <t>SAT12371QVD</t>
  </si>
  <si>
    <t>SMA07470565</t>
  </si>
  <si>
    <t>SMA07470583</t>
  </si>
  <si>
    <t>SMA07470585</t>
  </si>
  <si>
    <t>SMA07470590</t>
  </si>
  <si>
    <t>SMA07480530</t>
  </si>
  <si>
    <t>SMA07480544</t>
  </si>
  <si>
    <t>SMG1413N04H</t>
  </si>
  <si>
    <t>SMG1413N055</t>
  </si>
  <si>
    <t>SPE1411017Z</t>
  </si>
  <si>
    <t>SSI4270FWR</t>
  </si>
  <si>
    <t>SSI4270PZH</t>
  </si>
  <si>
    <t>FDO1920F2Q6</t>
  </si>
  <si>
    <t>FDO1920F2LW</t>
  </si>
  <si>
    <t>FDO1920F2V6</t>
  </si>
  <si>
    <t>FDO1920F2LR</t>
  </si>
  <si>
    <t>FDO1920F2U5</t>
  </si>
  <si>
    <t>FDO1920F2MB</t>
  </si>
  <si>
    <t>FDO1920F2FU</t>
  </si>
  <si>
    <t>FDO1920F2TR</t>
  </si>
  <si>
    <t>FDO1920F2VU</t>
  </si>
  <si>
    <t>FDO1920F2TM</t>
  </si>
  <si>
    <t>FDO1920F2UG</t>
  </si>
  <si>
    <t>FDO1920F2T2</t>
  </si>
  <si>
    <t>FDO1920F2MR</t>
  </si>
  <si>
    <t>FDO1920F2ED</t>
  </si>
  <si>
    <t>FDO1920F2UK</t>
  </si>
  <si>
    <t>FDO1920F2UM</t>
  </si>
  <si>
    <t>FDO1920F2V7</t>
  </si>
  <si>
    <t>FDO1920F2TQ</t>
  </si>
  <si>
    <t>FDO1920F2NQ</t>
  </si>
  <si>
    <t>FDO1920F2L0</t>
  </si>
  <si>
    <t>FDO1920F2TL</t>
  </si>
  <si>
    <t>FDO1920F2LD</t>
  </si>
  <si>
    <t>FDO1920F2S0</t>
  </si>
  <si>
    <t>FDO1920F2TU</t>
  </si>
  <si>
    <t>FDO1920F2M4</t>
  </si>
  <si>
    <t>FDO1920F2S5</t>
  </si>
  <si>
    <t>FDO1920F2ST</t>
  </si>
  <si>
    <t>FDO1920F2L8</t>
  </si>
  <si>
    <t>FDO1920F2M6</t>
  </si>
  <si>
    <t>FDO1920F2UP</t>
  </si>
  <si>
    <t>FDO1920F2PA</t>
  </si>
  <si>
    <t>FDO1920F2MA</t>
  </si>
  <si>
    <t>FDO1920F2LV</t>
  </si>
  <si>
    <t>FDO1920F2T0</t>
  </si>
  <si>
    <t>FDO1920F2LQ</t>
  </si>
  <si>
    <t>FDO1920F2MT</t>
  </si>
  <si>
    <t>FDO1920F2MQ</t>
  </si>
  <si>
    <t>FDO1920F2M8</t>
  </si>
  <si>
    <t>FDO1920F2UA</t>
  </si>
  <si>
    <t>FDO1920F2N3</t>
  </si>
  <si>
    <t>FDO1920F2TK</t>
  </si>
  <si>
    <t>FDO1920F2U9</t>
  </si>
  <si>
    <t>FDO1920F2M9</t>
  </si>
  <si>
    <t>FDO1920F2SV</t>
  </si>
  <si>
    <t>FDO1920F2MZ</t>
  </si>
  <si>
    <t>FDO1920F2VE</t>
  </si>
  <si>
    <t>FDO1920F2SH</t>
  </si>
  <si>
    <t>FDO1920F2SN</t>
  </si>
  <si>
    <t>FDO1920F2T3</t>
  </si>
  <si>
    <t>FDO1920F2UB</t>
  </si>
  <si>
    <t>FDO1920F2S1</t>
  </si>
  <si>
    <t>FDO1920F2SG</t>
  </si>
  <si>
    <t>FDO1920F2LJ</t>
  </si>
  <si>
    <t>FDO1920F2AS</t>
  </si>
  <si>
    <t>FDO1920F2NY</t>
  </si>
  <si>
    <t>FDO1920F2LU</t>
  </si>
  <si>
    <t>FDO1920F2TS</t>
  </si>
  <si>
    <t>FDO1920F2UH</t>
  </si>
  <si>
    <t>FDO1920F2L4</t>
  </si>
  <si>
    <t>FDO1920F2LL</t>
  </si>
  <si>
    <t>FDO1920F2U7</t>
  </si>
  <si>
    <t>FDO1920F2MF</t>
  </si>
  <si>
    <t>FDO1920F2UJ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</si>
</sst>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yyyymmdd"/>
    <numFmt numFmtId="166" formatCode="yyyy\-mm\-dd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Segoe UI"/>
      <family val="2"/>
    </font>
    <font>
      <sz val="10"/>
      <name val="Trebuchet MS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ourier New"/>
      <family val="3"/>
    </font>
    <font>
      <sz val="8"/>
      <color indexed="8"/>
      <name val="Courier New"/>
      <family val="3"/>
    </font>
    <font>
      <b/>
      <u/>
      <sz val="10"/>
      <color theme="1"/>
      <name val="Segoe UI"/>
      <family val="2"/>
    </font>
    <font>
      <b/>
      <u/>
      <sz val="10"/>
      <name val="Segoe UI"/>
      <family val="2"/>
    </font>
    <font>
      <sz val="10"/>
      <color theme="1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4"/>
      <name val="Arial"/>
      <family val="2"/>
    </font>
    <font>
      <sz val="11"/>
      <color rgb="FFD4D4D4"/>
      <name val="Consolas"/>
      <family val="3"/>
    </font>
    <font>
      <sz val="11"/>
      <color rgb="FF569CD6"/>
      <name val="Consolas"/>
      <family val="3"/>
    </font>
    <font>
      <b/>
      <sz val="10"/>
      <color theme="0" tint="-0.14999847407452621"/>
      <name val="Segoe UI"/>
      <family val="2"/>
    </font>
    <font>
      <sz val="11"/>
      <name val="Calibri"/>
      <family val="2"/>
      <scheme val="minor"/>
    </font>
    <font>
      <sz val="1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/>
  </cellStyleXfs>
  <cellXfs count="121">
    <xf numFmtId="0" fontId="0" fillId="0" borderId="0" xfId="0"/>
    <xf numFmtId="49" fontId="0" fillId="0" borderId="0" xfId="0" applyNumberFormat="1"/>
    <xf numFmtId="0" fontId="6" fillId="0" borderId="0" xfId="3" applyFont="1" applyFill="1" applyBorder="1" applyAlignment="1" applyProtection="1">
      <alignment horizontal="center" vertical="center" wrapText="1"/>
    </xf>
    <xf numFmtId="0" fontId="7" fillId="0" borderId="0" xfId="3" applyFont="1" applyFill="1" applyBorder="1" applyAlignment="1" applyProtection="1">
      <alignment horizontal="center" vertical="center" wrapText="1"/>
    </xf>
    <xf numFmtId="0" fontId="8" fillId="0" borderId="0" xfId="3" applyFont="1" applyProtection="1"/>
    <xf numFmtId="0" fontId="8" fillId="0" borderId="2" xfId="3" applyNumberFormat="1" applyFont="1" applyFill="1" applyBorder="1" applyAlignment="1" applyProtection="1">
      <alignment horizontal="left" vertical="center"/>
    </xf>
    <xf numFmtId="39" fontId="8" fillId="0" borderId="2" xfId="4" applyNumberFormat="1" applyFont="1" applyFill="1" applyBorder="1" applyAlignment="1" applyProtection="1">
      <alignment horizontal="right" vertical="center"/>
      <protection locked="0"/>
    </xf>
    <xf numFmtId="0" fontId="9" fillId="3" borderId="0" xfId="3" applyFont="1" applyFill="1" applyAlignment="1" applyProtection="1">
      <alignment horizontal="centerContinuous" vertical="center"/>
    </xf>
    <xf numFmtId="0" fontId="9" fillId="0" borderId="0" xfId="3" applyNumberFormat="1" applyFont="1" applyFill="1" applyAlignment="1" applyProtection="1">
      <alignment vertical="center"/>
    </xf>
    <xf numFmtId="39" fontId="10" fillId="0" borderId="3" xfId="5" applyNumberFormat="1" applyFont="1" applyFill="1" applyBorder="1" applyAlignment="1" applyProtection="1">
      <alignment horizontal="right" vertical="center"/>
    </xf>
    <xf numFmtId="0" fontId="9" fillId="0" borderId="4" xfId="3" applyNumberFormat="1" applyFont="1" applyFill="1" applyBorder="1" applyAlignment="1" applyProtection="1">
      <alignment vertical="center"/>
    </xf>
    <xf numFmtId="39" fontId="10" fillId="3" borderId="4" xfId="5" applyNumberFormat="1" applyFont="1" applyFill="1" applyBorder="1" applyAlignment="1" applyProtection="1">
      <alignment horizontal="right" vertical="center"/>
    </xf>
    <xf numFmtId="0" fontId="9" fillId="0" borderId="5" xfId="3" applyNumberFormat="1" applyFont="1" applyFill="1" applyBorder="1" applyAlignment="1" applyProtection="1">
      <alignment vertical="center"/>
    </xf>
    <xf numFmtId="9" fontId="8" fillId="3" borderId="5" xfId="6" applyNumberFormat="1" applyFont="1" applyFill="1" applyBorder="1" applyAlignment="1" applyProtection="1">
      <alignment horizontal="right"/>
    </xf>
    <xf numFmtId="0" fontId="9" fillId="0" borderId="0" xfId="3" applyFont="1" applyFill="1" applyBorder="1" applyAlignment="1" applyProtection="1">
      <alignment horizontal="centerContinuous" vertical="center"/>
    </xf>
    <xf numFmtId="164" fontId="8" fillId="0" borderId="0" xfId="3" applyNumberFormat="1" applyFont="1" applyFill="1" applyBorder="1" applyAlignment="1" applyProtection="1">
      <alignment horizontal="center"/>
    </xf>
    <xf numFmtId="39" fontId="8" fillId="0" borderId="0" xfId="5" applyNumberFormat="1" applyFont="1" applyFill="1" applyBorder="1" applyAlignment="1" applyProtection="1">
      <alignment horizontal="right" vertical="center"/>
    </xf>
    <xf numFmtId="0" fontId="8" fillId="0" borderId="0" xfId="3" applyFont="1" applyFill="1" applyBorder="1" applyProtection="1"/>
    <xf numFmtId="0" fontId="8" fillId="0" borderId="0" xfId="3" applyFont="1" applyAlignment="1" applyProtection="1">
      <alignment vertical="center"/>
    </xf>
    <xf numFmtId="0" fontId="0" fillId="4" borderId="0" xfId="0" applyFill="1"/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2" fillId="4" borderId="10" xfId="0" applyNumberFormat="1" applyFont="1" applyFill="1" applyBorder="1" applyAlignment="1">
      <alignment horizontal="left" vertical="top"/>
    </xf>
    <xf numFmtId="0" fontId="4" fillId="4" borderId="11" xfId="0" applyNumberFormat="1" applyFont="1" applyFill="1" applyBorder="1"/>
    <xf numFmtId="0" fontId="4" fillId="4" borderId="11" xfId="0" applyFont="1" applyFill="1" applyBorder="1"/>
    <xf numFmtId="0" fontId="0" fillId="0" borderId="8" xfId="0" applyBorder="1"/>
    <xf numFmtId="0" fontId="0" fillId="0" borderId="9" xfId="0" applyBorder="1"/>
    <xf numFmtId="0" fontId="13" fillId="3" borderId="11" xfId="0" applyFont="1" applyFill="1" applyBorder="1" applyAlignment="1">
      <alignment horizontal="center" vertical="center" wrapText="1"/>
    </xf>
    <xf numFmtId="0" fontId="4" fillId="0" borderId="11" xfId="0" applyFont="1" applyFill="1" applyBorder="1"/>
    <xf numFmtId="0" fontId="0" fillId="0" borderId="11" xfId="0" applyFill="1" applyBorder="1"/>
    <xf numFmtId="0" fontId="14" fillId="3" borderId="11" xfId="0" applyNumberFormat="1" applyFont="1" applyFill="1" applyBorder="1" applyAlignment="1">
      <alignment horizontal="center" vertical="center"/>
    </xf>
    <xf numFmtId="0" fontId="4" fillId="3" borderId="11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6" borderId="11" xfId="0" applyFill="1" applyBorder="1"/>
    <xf numFmtId="0" fontId="0" fillId="6" borderId="11" xfId="0" applyFont="1" applyFill="1" applyBorder="1" applyAlignment="1"/>
    <xf numFmtId="0" fontId="0" fillId="0" borderId="11" xfId="0" applyBorder="1"/>
    <xf numFmtId="0" fontId="15" fillId="0" borderId="11" xfId="3" applyFont="1" applyFill="1" applyBorder="1" applyAlignment="1"/>
    <xf numFmtId="0" fontId="0" fillId="5" borderId="11" xfId="0" applyFill="1" applyBorder="1"/>
    <xf numFmtId="0" fontId="0" fillId="8" borderId="11" xfId="0" applyFill="1" applyBorder="1"/>
    <xf numFmtId="0" fontId="3" fillId="9" borderId="11" xfId="1" applyFont="1" applyFill="1" applyBorder="1" applyAlignment="1">
      <alignment horizontal="center"/>
    </xf>
    <xf numFmtId="0" fontId="16" fillId="0" borderId="11" xfId="0" applyFont="1" applyFill="1" applyBorder="1" applyAlignment="1" applyProtection="1">
      <alignment horizontal="center"/>
      <protection locked="0"/>
    </xf>
    <xf numFmtId="0" fontId="17" fillId="0" borderId="11" xfId="2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165" fontId="3" fillId="9" borderId="11" xfId="1" applyNumberFormat="1" applyFont="1" applyFill="1" applyBorder="1" applyAlignment="1">
      <alignment horizontal="center"/>
    </xf>
    <xf numFmtId="166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166" fontId="16" fillId="0" borderId="0" xfId="0" applyNumberFormat="1" applyFont="1" applyFill="1" applyBorder="1" applyAlignment="1" applyProtection="1">
      <alignment horizontal="center"/>
      <protection locked="0"/>
    </xf>
    <xf numFmtId="0" fontId="17" fillId="0" borderId="0" xfId="2" applyFont="1" applyFill="1" applyBorder="1" applyAlignment="1" applyProtection="1">
      <alignment horizontal="center"/>
      <protection locked="0"/>
    </xf>
    <xf numFmtId="165" fontId="16" fillId="0" borderId="0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>
      <alignment horizontal="center"/>
    </xf>
    <xf numFmtId="165" fontId="16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5" fontId="16" fillId="0" borderId="0" xfId="0" applyNumberFormat="1" applyFont="1" applyBorder="1" applyAlignment="1">
      <alignment horizontal="center"/>
    </xf>
    <xf numFmtId="0" fontId="19" fillId="10" borderId="0" xfId="7" applyFill="1" applyProtection="1"/>
    <xf numFmtId="0" fontId="19" fillId="10" borderId="14" xfId="7" applyFont="1" applyFill="1" applyBorder="1" applyProtection="1"/>
    <xf numFmtId="0" fontId="20" fillId="10" borderId="14" xfId="7" applyFont="1" applyFill="1" applyBorder="1" applyProtection="1"/>
    <xf numFmtId="0" fontId="19" fillId="10" borderId="15" xfId="7" applyFill="1" applyBorder="1" applyAlignment="1" applyProtection="1">
      <alignment wrapText="1"/>
    </xf>
    <xf numFmtId="0" fontId="19" fillId="10" borderId="0" xfId="7" applyFill="1" applyBorder="1" applyProtection="1"/>
    <xf numFmtId="0" fontId="19" fillId="10" borderId="0" xfId="7" applyFont="1" applyFill="1" applyProtection="1"/>
    <xf numFmtId="0" fontId="20" fillId="10" borderId="0" xfId="7" applyFont="1" applyFill="1" applyProtection="1"/>
    <xf numFmtId="0" fontId="21" fillId="10" borderId="0" xfId="7" applyFont="1" applyFill="1"/>
    <xf numFmtId="0" fontId="19" fillId="10" borderId="0" xfId="7" applyFill="1"/>
    <xf numFmtId="0" fontId="22" fillId="10" borderId="0" xfId="7" applyFont="1" applyFill="1"/>
    <xf numFmtId="0" fontId="19" fillId="10" borderId="14" xfId="7" applyFill="1" applyBorder="1"/>
    <xf numFmtId="0" fontId="20" fillId="0" borderId="14" xfId="7" applyFont="1" applyFill="1" applyBorder="1"/>
    <xf numFmtId="0" fontId="20" fillId="0" borderId="16" xfId="7" applyFont="1" applyFill="1" applyBorder="1"/>
    <xf numFmtId="0" fontId="19" fillId="10" borderId="14" xfId="7" applyFont="1" applyFill="1" applyBorder="1"/>
    <xf numFmtId="0" fontId="19" fillId="10" borderId="0" xfId="7" quotePrefix="1" applyFill="1"/>
    <xf numFmtId="0" fontId="20" fillId="10" borderId="0" xfId="7" applyFont="1" applyFill="1"/>
    <xf numFmtId="0" fontId="23" fillId="10" borderId="0" xfId="7" applyFont="1" applyFill="1"/>
    <xf numFmtId="0" fontId="19" fillId="10" borderId="0" xfId="7" applyFont="1" applyFill="1"/>
    <xf numFmtId="0" fontId="20" fillId="0" borderId="14" xfId="7" applyFont="1" applyFill="1" applyBorder="1" applyProtection="1">
      <protection locked="0"/>
    </xf>
    <xf numFmtId="0" fontId="24" fillId="10" borderId="0" xfId="7" applyFont="1" applyFill="1"/>
    <xf numFmtId="0" fontId="19" fillId="0" borderId="17" xfId="7" applyFill="1" applyBorder="1" applyProtection="1">
      <protection locked="0"/>
    </xf>
    <xf numFmtId="0" fontId="19" fillId="0" borderId="12" xfId="7" applyFont="1" applyFill="1" applyBorder="1" applyProtection="1">
      <protection locked="0"/>
    </xf>
    <xf numFmtId="0" fontId="19" fillId="0" borderId="12" xfId="7" applyFill="1" applyBorder="1" applyProtection="1">
      <protection locked="0"/>
    </xf>
    <xf numFmtId="0" fontId="19" fillId="0" borderId="13" xfId="7" applyFill="1" applyBorder="1" applyProtection="1">
      <protection locked="0"/>
    </xf>
    <xf numFmtId="0" fontId="19" fillId="10" borderId="0" xfId="7" applyFill="1" applyBorder="1"/>
    <xf numFmtId="0" fontId="19" fillId="10" borderId="17" xfId="7" applyFill="1" applyBorder="1"/>
    <xf numFmtId="0" fontId="19" fillId="10" borderId="12" xfId="7" applyFill="1" applyBorder="1"/>
    <xf numFmtId="0" fontId="19" fillId="10" borderId="13" xfId="7" applyFill="1" applyBorder="1"/>
    <xf numFmtId="0" fontId="19" fillId="0" borderId="14" xfId="7" applyFill="1" applyBorder="1" applyProtection="1">
      <protection locked="0"/>
    </xf>
    <xf numFmtId="0" fontId="19" fillId="0" borderId="14" xfId="7" applyFont="1" applyFill="1" applyBorder="1" applyProtection="1">
      <protection locked="0"/>
    </xf>
    <xf numFmtId="0" fontId="19" fillId="10" borderId="0" xfId="7" applyFont="1" applyFill="1" applyAlignment="1">
      <alignment horizontal="center" vertical="center"/>
    </xf>
    <xf numFmtId="0" fontId="19" fillId="10" borderId="0" xfId="7" applyFont="1" applyFill="1" applyBorder="1" applyAlignment="1">
      <alignment horizontal="center" vertical="center"/>
    </xf>
    <xf numFmtId="0" fontId="19" fillId="0" borderId="14" xfId="7" applyFont="1" applyFill="1" applyBorder="1" applyAlignment="1" applyProtection="1">
      <alignment horizontal="center" vertical="center"/>
      <protection locked="0"/>
    </xf>
    <xf numFmtId="0" fontId="19" fillId="10" borderId="0" xfId="7" applyNumberFormat="1" applyFont="1" applyFill="1" applyBorder="1" applyAlignment="1">
      <alignment horizontal="center"/>
    </xf>
    <xf numFmtId="49" fontId="19" fillId="10" borderId="0" xfId="7" applyNumberFormat="1" applyFont="1" applyFill="1"/>
    <xf numFmtId="0" fontId="19" fillId="10" borderId="0" xfId="7" applyFill="1" applyBorder="1" applyAlignment="1">
      <alignment horizontal="center"/>
    </xf>
    <xf numFmtId="0" fontId="19" fillId="0" borderId="14" xfId="7" applyFill="1" applyBorder="1"/>
    <xf numFmtId="0" fontId="19" fillId="0" borderId="14" xfId="7" applyFont="1" applyFill="1" applyBorder="1"/>
    <xf numFmtId="0" fontId="19" fillId="0" borderId="14" xfId="7" quotePrefix="1" applyFont="1" applyFill="1" applyBorder="1"/>
    <xf numFmtId="0" fontId="19" fillId="0" borderId="14" xfId="7" quotePrefix="1" applyFill="1" applyBorder="1"/>
    <xf numFmtId="0" fontId="0" fillId="0" borderId="0" xfId="0" quotePrefix="1"/>
    <xf numFmtId="0" fontId="26" fillId="0" borderId="0" xfId="0" applyFont="1" applyAlignment="1">
      <alignment vertical="center"/>
    </xf>
    <xf numFmtId="49" fontId="0" fillId="0" borderId="0" xfId="0" quotePrefix="1" applyNumberFormat="1"/>
    <xf numFmtId="0" fontId="0" fillId="3" borderId="0" xfId="0" applyFill="1"/>
    <xf numFmtId="49" fontId="0" fillId="3" borderId="0" xfId="0" applyNumberFormat="1" applyFill="1"/>
    <xf numFmtId="0" fontId="0" fillId="3" borderId="0" xfId="0" applyNumberFormat="1" applyFill="1"/>
    <xf numFmtId="0" fontId="0" fillId="7" borderId="11" xfId="0" applyFill="1" applyBorder="1"/>
    <xf numFmtId="0" fontId="0" fillId="5" borderId="0" xfId="0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9" fillId="0" borderId="6" xfId="7" applyFont="1" applyFill="1" applyBorder="1" applyAlignment="1" applyProtection="1">
      <alignment horizontal="center"/>
      <protection locked="0"/>
    </xf>
    <xf numFmtId="0" fontId="19" fillId="0" borderId="7" xfId="7" applyFont="1" applyFill="1" applyBorder="1" applyAlignment="1" applyProtection="1">
      <alignment horizontal="center"/>
      <protection locked="0"/>
    </xf>
    <xf numFmtId="49" fontId="27" fillId="11" borderId="18" xfId="0" applyNumberFormat="1" applyFont="1" applyFill="1" applyBorder="1" applyAlignment="1" applyProtection="1">
      <alignment horizontal="center" vertical="center"/>
      <protection locked="0"/>
    </xf>
    <xf numFmtId="0" fontId="27" fillId="11" borderId="18" xfId="0" applyNumberFormat="1" applyFont="1" applyFill="1" applyBorder="1" applyAlignment="1" applyProtection="1">
      <alignment horizontal="center" vertical="center" wrapText="1"/>
      <protection locked="0"/>
    </xf>
    <xf numFmtId="0" fontId="27" fillId="11" borderId="18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Border="1"/>
    <xf numFmtId="49" fontId="28" fillId="0" borderId="18" xfId="0" applyNumberFormat="1" applyFont="1" applyFill="1" applyBorder="1" applyProtection="1">
      <protection locked="0"/>
    </xf>
    <xf numFmtId="0" fontId="29" fillId="3" borderId="18" xfId="0" applyFont="1" applyFill="1" applyBorder="1" applyProtection="1"/>
    <xf numFmtId="0" fontId="28" fillId="0" borderId="18" xfId="0" applyFont="1" applyFill="1" applyBorder="1" applyProtection="1">
      <protection locked="0"/>
    </xf>
    <xf numFmtId="0" fontId="29" fillId="3" borderId="18" xfId="0" applyNumberFormat="1" applyFont="1" applyFill="1" applyBorder="1" applyProtection="1"/>
    <xf numFmtId="0" fontId="29" fillId="0" borderId="18" xfId="0" applyFont="1" applyFill="1" applyBorder="1" applyProtection="1">
      <protection locked="0"/>
    </xf>
    <xf numFmtId="0" fontId="28" fillId="0" borderId="18" xfId="0" applyFont="1" applyFill="1" applyBorder="1" applyAlignment="1" applyProtection="1">
      <alignment vertical="center"/>
      <protection locked="0"/>
    </xf>
    <xf numFmtId="49" fontId="29" fillId="0" borderId="18" xfId="0" applyNumberFormat="1" applyFont="1" applyFill="1" applyBorder="1" applyAlignment="1" applyProtection="1">
      <alignment horizontal="left" vertical="top"/>
      <protection locked="0"/>
    </xf>
    <xf numFmtId="0" fontId="29" fillId="0" borderId="18" xfId="0" applyNumberFormat="1" applyFont="1" applyFill="1" applyBorder="1" applyProtection="1">
      <protection locked="0"/>
    </xf>
    <xf numFmtId="49" fontId="28" fillId="0" borderId="0" xfId="0" applyNumberFormat="1" applyFont="1" applyFill="1" applyBorder="1" applyProtection="1">
      <protection locked="0"/>
    </xf>
    <xf numFmtId="0" fontId="28" fillId="0" borderId="0" xfId="0" applyFont="1" applyFill="1" applyBorder="1" applyProtection="1">
      <protection locked="0"/>
    </xf>
    <xf numFmtId="0" fontId="28" fillId="0" borderId="0" xfId="0" applyFont="1" applyFill="1" applyBorder="1" applyProtection="1"/>
  </cellXfs>
  <cellStyles count="8">
    <cellStyle name="40% - Accent4" xfId="2" builtinId="43"/>
    <cellStyle name="Comma 2" xfId="5"/>
    <cellStyle name="Currency 2" xfId="4"/>
    <cellStyle name="Heading 1" xfId="1" builtinId="16"/>
    <cellStyle name="Normal" xfId="0" builtinId="0"/>
    <cellStyle name="Normal 2" xfId="3"/>
    <cellStyle name="Normal 3" xfId="7"/>
    <cellStyle name="Percent 2" xfId="6"/>
  </cellStyles>
  <dxfs count="15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7" formatCode="#,##0.00_);\(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797153093089644"/>
          <c:y val="4.4402178259573502E-2"/>
          <c:w val="0.66013320638947015"/>
          <c:h val="0.766804053799495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'Donation Tracker'!$D$4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9050">
              <a:solidFill>
                <a:schemeClr val="accent1"/>
              </a:solidFill>
            </a:ln>
            <a:effectLst/>
          </c:spPr>
          <c:invertIfNegative val="0"/>
          <c:val>
            <c:numRef>
              <c:f>'Donation Tracker'!$E$4</c:f>
              <c:numCache>
                <c:formatCode>#,##0.00_);\(#,##0.00\)</c:formatCode>
                <c:ptCount val="1"/>
                <c:pt idx="0">
                  <c:v>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6B-4DCC-99FE-23D795656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100"/>
        <c:axId val="-221297072"/>
        <c:axId val="-221292176"/>
      </c:barChart>
      <c:barChart>
        <c:barDir val="col"/>
        <c:grouping val="clustered"/>
        <c:varyColors val="0"/>
        <c:ser>
          <c:idx val="1"/>
          <c:order val="1"/>
          <c:tx>
            <c:strRef>
              <c:f>'Donation Tracker'!$D$5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dLbl>
              <c:idx val="0"/>
              <c:numFmt formatCode="#,##0" sourceLinked="0"/>
              <c:spPr/>
              <c:txPr>
                <a:bodyPr/>
                <a:lstStyle/>
                <a:p>
                  <a:pPr>
                    <a:defRPr sz="900" b="0"/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0"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'Donation Tracker'!$E$5</c:f>
              <c:numCache>
                <c:formatCode>#,##0.00_);\(#,##0.00\)</c:formatCode>
                <c:ptCount val="1"/>
                <c:pt idx="0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D6B-4DCC-99FE-23D795656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0"/>
        <c:overlap val="100"/>
        <c:axId val="-221290544"/>
        <c:axId val="-221291088"/>
      </c:barChart>
      <c:catAx>
        <c:axId val="-221297072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one"/>
        <c:crossAx val="-221292176"/>
        <c:crosses val="autoZero"/>
        <c:auto val="1"/>
        <c:lblAlgn val="ctr"/>
        <c:lblOffset val="100"/>
        <c:noMultiLvlLbl val="0"/>
      </c:catAx>
      <c:valAx>
        <c:axId val="-221292176"/>
        <c:scaling>
          <c:orientation val="minMax"/>
          <c:min val="0"/>
        </c:scaling>
        <c:delete val="0"/>
        <c:axPos val="l"/>
        <c:numFmt formatCode="#,##0_);\(#,##0\)" sourceLinked="0"/>
        <c:majorTickMark val="none"/>
        <c:minorTickMark val="none"/>
        <c:tickLblPos val="nextTo"/>
        <c:crossAx val="-221297072"/>
        <c:crosses val="autoZero"/>
        <c:crossBetween val="between"/>
      </c:valAx>
      <c:valAx>
        <c:axId val="-221291088"/>
        <c:scaling>
          <c:orientation val="minMax"/>
        </c:scaling>
        <c:delete val="1"/>
        <c:axPos val="r"/>
        <c:numFmt formatCode="#,##0.00_);\(#,##0.00\)" sourceLinked="1"/>
        <c:majorTickMark val="out"/>
        <c:minorTickMark val="none"/>
        <c:tickLblPos val="nextTo"/>
        <c:crossAx val="-221290544"/>
        <c:crosses val="max"/>
        <c:crossBetween val="between"/>
      </c:valAx>
      <c:catAx>
        <c:axId val="-221290544"/>
        <c:scaling>
          <c:orientation val="minMax"/>
        </c:scaling>
        <c:delete val="1"/>
        <c:axPos val="b"/>
        <c:majorTickMark val="out"/>
        <c:minorTickMark val="none"/>
        <c:tickLblPos val="nextTo"/>
        <c:crossAx val="-2212910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76202</xdr:colOff>
      <xdr:row>0</xdr:row>
      <xdr:rowOff>85725</xdr:rowOff>
    </xdr:from>
    <xdr:to>
      <xdr:col>2</xdr:col>
      <xdr:colOff>1381126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0.41502</cdr:x>
      <cdr:y>0.78469</cdr:y>
    </cdr:from>
    <cdr:to>
      <cdr:x>0.80188</cdr:x>
      <cdr:y>1</cdr:y>
    </cdr:to>
    <cdr:sp macro="" textlink="'Donation Tracker'!$E$6">
      <cdr:nvSpPr>
        <cdr:cNvPr id="2" name="Oval 1"/>
        <cdr:cNvSpPr/>
      </cdr:nvSpPr>
      <cdr:spPr>
        <a:xfrm xmlns:a="http://schemas.openxmlformats.org/drawingml/2006/main">
          <a:off x="541564" y="1548220"/>
          <a:ext cx="504825" cy="42481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lIns="0" tIns="0" rIns="0" bIns="0" anchor="ctr" anchorCtr="0"/>
        <a:lstStyle xmlns:a="http://schemas.openxmlformats.org/drawingml/2006/main"/>
        <a:p xmlns:a="http://schemas.openxmlformats.org/drawingml/2006/main">
          <a:pPr algn="ctr"/>
          <a:fld id="{27177DFF-E85E-4192-9D65-9675D5288A2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13%</a:t>
          </a:fld>
          <a:endParaRPr lang="en-US" sz="1400">
            <a:solidFill>
              <a:schemeClr val="bg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logTable" displayName="logTable" ref="A1:B15" totalsRowShown="0" headerRowDxfId="14" dataDxfId="13">
  <tableColumns count="2">
    <tableColumn id="2" name="Name" dataDxfId="12"/>
    <tableColumn id="4" name="Amount" dataDxfId="1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5"/>
  <sheetViews>
    <sheetView topLeftCell="B1" workbookViewId="0">
      <selection activeCell="I8" sqref="I8"/>
    </sheetView>
  </sheetViews>
  <sheetFormatPr defaultRowHeight="15" x14ac:dyDescent="0.25"/>
  <cols>
    <col min="1" max="1" width="19" customWidth="1"/>
    <col min="2" max="2" width="4" bestFit="1" customWidth="1"/>
    <col min="3" max="3" width="2.7109375" bestFit="1" customWidth="1"/>
    <col min="4" max="4" width="1.85546875" bestFit="1" customWidth="1"/>
    <col min="5" max="5" width="25.85546875" style="1" bestFit="1" customWidth="1"/>
    <col min="6" max="6" width="1.5703125" style="1" bestFit="1" customWidth="1"/>
    <col min="7" max="7" width="25.85546875" style="1" bestFit="1" customWidth="1"/>
    <col min="9" max="9" width="69.7109375" style="96" bestFit="1" customWidth="1"/>
  </cols>
  <sheetData>
    <row r="1" spans="1:9" x14ac:dyDescent="0.25">
      <c r="A1" t="s">
        <v>2</v>
      </c>
      <c r="B1">
        <v>0</v>
      </c>
      <c r="C1" t="s">
        <v>1</v>
      </c>
      <c r="D1" t="s">
        <v>0</v>
      </c>
      <c r="E1" s="1" t="s">
        <v>111</v>
      </c>
      <c r="F1" s="1" t="s">
        <v>128</v>
      </c>
      <c r="G1" s="1" t="s">
        <v>111</v>
      </c>
      <c r="H1" t="s">
        <v>0</v>
      </c>
      <c r="I1" s="96" t="str">
        <f>A1&amp;B1&amp;C1&amp;D1&amp;E1&amp;F1&amp;G1&amp;H1</f>
        <v>arrButtonList(0)="alert,alert"</v>
      </c>
    </row>
    <row r="2" spans="1:9" x14ac:dyDescent="0.25">
      <c r="A2" t="s">
        <v>2</v>
      </c>
      <c r="B2">
        <v>1</v>
      </c>
      <c r="C2" t="s">
        <v>1</v>
      </c>
      <c r="D2" t="s">
        <v>0</v>
      </c>
      <c r="E2" s="1" t="s">
        <v>4</v>
      </c>
      <c r="F2" s="1" t="s">
        <v>128</v>
      </c>
      <c r="G2" s="1" t="s">
        <v>4</v>
      </c>
      <c r="H2" t="s">
        <v>0</v>
      </c>
      <c r="I2" s="96" t="str">
        <f t="shared" ref="I2:I65" si="0">A2&amp;B2&amp;C2&amp;D2&amp;E2&amp;F2&amp;G2&amp;H2</f>
        <v>arrButtonList(1)="applications,applications"</v>
      </c>
    </row>
    <row r="3" spans="1:9" x14ac:dyDescent="0.25">
      <c r="A3" t="s">
        <v>2</v>
      </c>
      <c r="B3">
        <v>2</v>
      </c>
      <c r="C3" t="s">
        <v>1</v>
      </c>
      <c r="D3" t="s">
        <v>0</v>
      </c>
      <c r="E3" s="1" t="s">
        <v>112</v>
      </c>
      <c r="F3" s="1" t="s">
        <v>128</v>
      </c>
      <c r="G3" s="1" t="s">
        <v>112</v>
      </c>
      <c r="H3" t="s">
        <v>0</v>
      </c>
      <c r="I3" s="96" t="str">
        <f t="shared" si="0"/>
        <v>arrButtonList(2)="audacity,audacity"</v>
      </c>
    </row>
    <row r="4" spans="1:9" x14ac:dyDescent="0.25">
      <c r="A4" t="s">
        <v>2</v>
      </c>
      <c r="B4">
        <v>3</v>
      </c>
      <c r="C4" t="s">
        <v>1</v>
      </c>
      <c r="D4" t="s">
        <v>0</v>
      </c>
      <c r="E4" s="1" t="s">
        <v>5</v>
      </c>
      <c r="F4" s="1" t="s">
        <v>128</v>
      </c>
      <c r="G4" s="1" t="s">
        <v>5</v>
      </c>
      <c r="H4" t="s">
        <v>0</v>
      </c>
      <c r="I4" s="96" t="str">
        <f t="shared" si="0"/>
        <v>arrButtonList(3)="backup,backup"</v>
      </c>
    </row>
    <row r="5" spans="1:9" x14ac:dyDescent="0.25">
      <c r="A5" t="s">
        <v>2</v>
      </c>
      <c r="B5">
        <v>4</v>
      </c>
      <c r="C5" t="s">
        <v>1</v>
      </c>
      <c r="D5" t="s">
        <v>0</v>
      </c>
      <c r="E5" s="1" t="s">
        <v>3</v>
      </c>
      <c r="F5" s="1" t="s">
        <v>128</v>
      </c>
      <c r="G5" s="1" t="s">
        <v>3</v>
      </c>
      <c r="H5" t="s">
        <v>0</v>
      </c>
      <c r="I5" s="96" t="str">
        <f t="shared" si="0"/>
        <v>arrButtonList(4)="blank,blank"</v>
      </c>
    </row>
    <row r="6" spans="1:9" x14ac:dyDescent="0.25">
      <c r="A6" t="s">
        <v>2</v>
      </c>
      <c r="B6">
        <v>5</v>
      </c>
      <c r="C6" t="s">
        <v>1</v>
      </c>
      <c r="D6" t="s">
        <v>0</v>
      </c>
      <c r="E6" s="1" t="s">
        <v>113</v>
      </c>
      <c r="F6" s="1" t="s">
        <v>128</v>
      </c>
      <c r="G6" s="1" t="s">
        <v>113</v>
      </c>
      <c r="H6" t="s">
        <v>0</v>
      </c>
      <c r="I6" s="96" t="str">
        <f t="shared" si="0"/>
        <v>arrButtonList(5)="bulletbill,bulletbill"</v>
      </c>
    </row>
    <row r="7" spans="1:9" x14ac:dyDescent="0.25">
      <c r="A7" t="s">
        <v>2</v>
      </c>
      <c r="B7">
        <v>6</v>
      </c>
      <c r="C7" t="s">
        <v>1</v>
      </c>
      <c r="D7" t="s">
        <v>0</v>
      </c>
      <c r="E7" s="1" t="s">
        <v>54</v>
      </c>
      <c r="F7" s="1" t="s">
        <v>128</v>
      </c>
      <c r="G7" s="1" t="s">
        <v>54</v>
      </c>
      <c r="H7" t="s">
        <v>0</v>
      </c>
      <c r="I7" s="96" t="str">
        <f t="shared" si="0"/>
        <v>arrButtonList(6)="calendar,calendar"</v>
      </c>
    </row>
    <row r="8" spans="1:9" x14ac:dyDescent="0.25">
      <c r="A8" t="s">
        <v>2</v>
      </c>
      <c r="B8">
        <v>7</v>
      </c>
      <c r="C8" t="s">
        <v>1</v>
      </c>
      <c r="D8" t="s">
        <v>0</v>
      </c>
      <c r="E8" s="1" t="s">
        <v>55</v>
      </c>
      <c r="F8" s="1" t="s">
        <v>128</v>
      </c>
      <c r="G8" s="1" t="s">
        <v>55</v>
      </c>
      <c r="H8" t="s">
        <v>0</v>
      </c>
      <c r="I8" s="96" t="str">
        <f t="shared" si="0"/>
        <v>arrButtonList(7)="calendarclock,calendarclock"</v>
      </c>
    </row>
    <row r="9" spans="1:9" x14ac:dyDescent="0.25">
      <c r="A9" t="s">
        <v>2</v>
      </c>
      <c r="B9">
        <v>8</v>
      </c>
      <c r="C9" t="s">
        <v>1</v>
      </c>
      <c r="D9" t="s">
        <v>0</v>
      </c>
      <c r="E9" s="1" t="s">
        <v>7</v>
      </c>
      <c r="F9" s="1" t="s">
        <v>128</v>
      </c>
      <c r="G9" s="1" t="s">
        <v>7</v>
      </c>
      <c r="H9" t="s">
        <v>0</v>
      </c>
      <c r="I9" s="96" t="str">
        <f t="shared" si="0"/>
        <v>arrButtonList(8)="cheatsheet,cheatsheet"</v>
      </c>
    </row>
    <row r="10" spans="1:9" x14ac:dyDescent="0.25">
      <c r="A10" t="s">
        <v>2</v>
      </c>
      <c r="B10">
        <v>9</v>
      </c>
      <c r="C10" t="s">
        <v>1</v>
      </c>
      <c r="D10" t="s">
        <v>0</v>
      </c>
      <c r="E10" s="1" t="s">
        <v>56</v>
      </c>
      <c r="F10" s="1" t="s">
        <v>128</v>
      </c>
      <c r="G10" s="1" t="s">
        <v>56</v>
      </c>
      <c r="H10" t="s">
        <v>0</v>
      </c>
      <c r="I10" s="96" t="str">
        <f t="shared" si="0"/>
        <v>arrButtonList(9)="chrome,chrome"</v>
      </c>
    </row>
    <row r="11" spans="1:9" x14ac:dyDescent="0.25">
      <c r="A11" t="s">
        <v>2</v>
      </c>
      <c r="B11">
        <v>10</v>
      </c>
      <c r="C11" t="s">
        <v>1</v>
      </c>
      <c r="D11" t="s">
        <v>0</v>
      </c>
      <c r="E11" s="1" t="s">
        <v>114</v>
      </c>
      <c r="F11" s="1" t="s">
        <v>128</v>
      </c>
      <c r="G11" s="1" t="s">
        <v>114</v>
      </c>
      <c r="H11" t="s">
        <v>0</v>
      </c>
      <c r="I11" s="96" t="str">
        <f t="shared" si="0"/>
        <v>arrButtonList(10)="circuitboard,circuitboard"</v>
      </c>
    </row>
    <row r="12" spans="1:9" x14ac:dyDescent="0.25">
      <c r="A12" t="s">
        <v>2</v>
      </c>
      <c r="B12">
        <v>11</v>
      </c>
      <c r="C12" t="s">
        <v>1</v>
      </c>
      <c r="D12" t="s">
        <v>0</v>
      </c>
      <c r="E12" s="1" t="s">
        <v>63</v>
      </c>
      <c r="F12" s="1" t="s">
        <v>128</v>
      </c>
      <c r="G12" s="1" t="s">
        <v>63</v>
      </c>
      <c r="H12" t="s">
        <v>0</v>
      </c>
      <c r="I12" s="96" t="str">
        <f t="shared" si="0"/>
        <v>arrButtonList(11)="ciscoball1,ciscoball1"</v>
      </c>
    </row>
    <row r="13" spans="1:9" x14ac:dyDescent="0.25">
      <c r="A13" t="s">
        <v>2</v>
      </c>
      <c r="B13">
        <v>12</v>
      </c>
      <c r="C13" t="s">
        <v>1</v>
      </c>
      <c r="D13" t="s">
        <v>0</v>
      </c>
      <c r="E13" s="1" t="s">
        <v>64</v>
      </c>
      <c r="F13" s="1" t="s">
        <v>128</v>
      </c>
      <c r="G13" s="1" t="s">
        <v>64</v>
      </c>
      <c r="H13" t="s">
        <v>0</v>
      </c>
      <c r="I13" s="96" t="str">
        <f t="shared" si="0"/>
        <v>arrButtonList(12)="ciscoball2,ciscoball2"</v>
      </c>
    </row>
    <row r="14" spans="1:9" x14ac:dyDescent="0.25">
      <c r="A14" t="s">
        <v>2</v>
      </c>
      <c r="B14">
        <v>13</v>
      </c>
      <c r="C14" t="s">
        <v>1</v>
      </c>
      <c r="D14" t="s">
        <v>0</v>
      </c>
      <c r="E14" s="1" t="s">
        <v>59</v>
      </c>
      <c r="F14" s="1" t="s">
        <v>128</v>
      </c>
      <c r="G14" s="1" t="s">
        <v>59</v>
      </c>
      <c r="H14" t="s">
        <v>0</v>
      </c>
      <c r="I14" s="96" t="str">
        <f t="shared" si="0"/>
        <v>arrButtonList(13)="ciscoblue1,ciscoblue1"</v>
      </c>
    </row>
    <row r="15" spans="1:9" x14ac:dyDescent="0.25">
      <c r="A15" t="s">
        <v>2</v>
      </c>
      <c r="B15">
        <v>14</v>
      </c>
      <c r="C15" t="s">
        <v>1</v>
      </c>
      <c r="D15" t="s">
        <v>0</v>
      </c>
      <c r="E15" s="1" t="s">
        <v>60</v>
      </c>
      <c r="F15" s="1" t="s">
        <v>128</v>
      </c>
      <c r="G15" s="1" t="s">
        <v>60</v>
      </c>
      <c r="H15" t="s">
        <v>0</v>
      </c>
      <c r="I15" s="96" t="str">
        <f t="shared" si="0"/>
        <v>arrButtonList(14)="ciscoblue2,ciscoblue2"</v>
      </c>
    </row>
    <row r="16" spans="1:9" x14ac:dyDescent="0.25">
      <c r="A16" t="s">
        <v>2</v>
      </c>
      <c r="B16">
        <v>15</v>
      </c>
      <c r="C16" t="s">
        <v>1</v>
      </c>
      <c r="D16" t="s">
        <v>0</v>
      </c>
      <c r="E16" s="1" t="s">
        <v>61</v>
      </c>
      <c r="F16" s="1" t="s">
        <v>128</v>
      </c>
      <c r="G16" s="1" t="s">
        <v>61</v>
      </c>
      <c r="H16" t="s">
        <v>0</v>
      </c>
      <c r="I16" s="96" t="str">
        <f t="shared" si="0"/>
        <v>arrButtonList(15)="ciscodarkblue1,ciscodarkblue1"</v>
      </c>
    </row>
    <row r="17" spans="1:9" x14ac:dyDescent="0.25">
      <c r="A17" t="s">
        <v>2</v>
      </c>
      <c r="B17">
        <v>16</v>
      </c>
      <c r="C17" t="s">
        <v>1</v>
      </c>
      <c r="D17" t="s">
        <v>0</v>
      </c>
      <c r="E17" s="1" t="s">
        <v>62</v>
      </c>
      <c r="F17" s="1" t="s">
        <v>128</v>
      </c>
      <c r="G17" s="1" t="s">
        <v>62</v>
      </c>
      <c r="H17" t="s">
        <v>0</v>
      </c>
      <c r="I17" s="96" t="str">
        <f t="shared" si="0"/>
        <v>arrButtonList(16)="ciscodarkblue2,ciscodarkblue2"</v>
      </c>
    </row>
    <row r="18" spans="1:9" x14ac:dyDescent="0.25">
      <c r="A18" t="s">
        <v>2</v>
      </c>
      <c r="B18">
        <v>17</v>
      </c>
      <c r="C18" t="s">
        <v>1</v>
      </c>
      <c r="D18" t="s">
        <v>0</v>
      </c>
      <c r="E18" s="1" t="s">
        <v>76</v>
      </c>
      <c r="F18" s="1" t="s">
        <v>128</v>
      </c>
      <c r="G18" s="1" t="s">
        <v>76</v>
      </c>
      <c r="H18" t="s">
        <v>0</v>
      </c>
      <c r="I18" s="96" t="str">
        <f t="shared" si="0"/>
        <v>arrButtonList(17)="ciscoise,ciscoise"</v>
      </c>
    </row>
    <row r="19" spans="1:9" x14ac:dyDescent="0.25">
      <c r="A19" t="s">
        <v>2</v>
      </c>
      <c r="B19">
        <v>18</v>
      </c>
      <c r="C19" t="s">
        <v>1</v>
      </c>
      <c r="D19" t="s">
        <v>0</v>
      </c>
      <c r="E19" s="1" t="s">
        <v>57</v>
      </c>
      <c r="F19" s="1" t="s">
        <v>128</v>
      </c>
      <c r="G19" s="1" t="s">
        <v>57</v>
      </c>
      <c r="H19" t="s">
        <v>0</v>
      </c>
      <c r="I19" s="96" t="str">
        <f t="shared" si="0"/>
        <v>arrButtonList(18)="ciscowhite1,ciscowhite1"</v>
      </c>
    </row>
    <row r="20" spans="1:9" x14ac:dyDescent="0.25">
      <c r="A20" t="s">
        <v>2</v>
      </c>
      <c r="B20">
        <v>19</v>
      </c>
      <c r="C20" t="s">
        <v>1</v>
      </c>
      <c r="D20" t="s">
        <v>0</v>
      </c>
      <c r="E20" s="1" t="s">
        <v>58</v>
      </c>
      <c r="F20" s="1" t="s">
        <v>128</v>
      </c>
      <c r="G20" s="1" t="s">
        <v>58</v>
      </c>
      <c r="H20" t="s">
        <v>0</v>
      </c>
      <c r="I20" s="96" t="str">
        <f t="shared" si="0"/>
        <v>arrButtonList(19)="ciscowhite2,ciscowhite2"</v>
      </c>
    </row>
    <row r="21" spans="1:9" x14ac:dyDescent="0.25">
      <c r="A21" t="s">
        <v>2</v>
      </c>
      <c r="B21">
        <v>20</v>
      </c>
      <c r="C21" t="s">
        <v>1</v>
      </c>
      <c r="D21" t="s">
        <v>0</v>
      </c>
      <c r="E21" s="1" t="s">
        <v>65</v>
      </c>
      <c r="F21" s="1" t="s">
        <v>128</v>
      </c>
      <c r="G21" s="1" t="s">
        <v>65</v>
      </c>
      <c r="H21" t="s">
        <v>0</v>
      </c>
      <c r="I21" s="96" t="str">
        <f t="shared" si="0"/>
        <v>arrButtonList(20)="clock,clock"</v>
      </c>
    </row>
    <row r="22" spans="1:9" x14ac:dyDescent="0.25">
      <c r="A22" t="s">
        <v>2</v>
      </c>
      <c r="B22">
        <v>21</v>
      </c>
      <c r="C22" t="s">
        <v>1</v>
      </c>
      <c r="D22" t="s">
        <v>0</v>
      </c>
      <c r="E22" s="1" t="s">
        <v>115</v>
      </c>
      <c r="F22" s="1" t="s">
        <v>128</v>
      </c>
      <c r="G22" s="1" t="s">
        <v>115</v>
      </c>
      <c r="H22" t="s">
        <v>0</v>
      </c>
      <c r="I22" s="96" t="str">
        <f t="shared" si="0"/>
        <v>arrButtonList(21)="coffee,coffee"</v>
      </c>
    </row>
    <row r="23" spans="1:9" x14ac:dyDescent="0.25">
      <c r="A23" t="s">
        <v>2</v>
      </c>
      <c r="B23">
        <v>22</v>
      </c>
      <c r="C23" t="s">
        <v>1</v>
      </c>
      <c r="D23" t="s">
        <v>0</v>
      </c>
      <c r="E23" s="1" t="s">
        <v>8</v>
      </c>
      <c r="F23" s="1" t="s">
        <v>128</v>
      </c>
      <c r="G23" s="1" t="s">
        <v>8</v>
      </c>
      <c r="H23" t="s">
        <v>0</v>
      </c>
      <c r="I23" s="96" t="str">
        <f t="shared" si="0"/>
        <v>arrButtonList(22)="cygwin,cygwin"</v>
      </c>
    </row>
    <row r="24" spans="1:9" x14ac:dyDescent="0.25">
      <c r="A24" t="s">
        <v>2</v>
      </c>
      <c r="B24">
        <v>23</v>
      </c>
      <c r="C24" t="s">
        <v>1</v>
      </c>
      <c r="D24" t="s">
        <v>0</v>
      </c>
      <c r="E24" s="1" t="s">
        <v>9</v>
      </c>
      <c r="F24" s="1" t="s">
        <v>128</v>
      </c>
      <c r="G24" s="1" t="s">
        <v>9</v>
      </c>
      <c r="H24" t="s">
        <v>0</v>
      </c>
      <c r="I24" s="96" t="str">
        <f t="shared" si="0"/>
        <v>arrButtonList(23)="dailyreport,dailyreport"</v>
      </c>
    </row>
    <row r="25" spans="1:9" x14ac:dyDescent="0.25">
      <c r="A25" t="s">
        <v>2</v>
      </c>
      <c r="B25">
        <v>24</v>
      </c>
      <c r="C25" t="s">
        <v>1</v>
      </c>
      <c r="D25" t="s">
        <v>0</v>
      </c>
      <c r="E25" s="1" t="s">
        <v>10</v>
      </c>
      <c r="F25" s="1" t="s">
        <v>128</v>
      </c>
      <c r="G25" s="1" t="s">
        <v>10</v>
      </c>
      <c r="H25" t="s">
        <v>0</v>
      </c>
      <c r="I25" s="96" t="str">
        <f t="shared" si="0"/>
        <v>arrButtonList(24)="developer,developer"</v>
      </c>
    </row>
    <row r="26" spans="1:9" x14ac:dyDescent="0.25">
      <c r="A26" t="s">
        <v>2</v>
      </c>
      <c r="B26">
        <v>25</v>
      </c>
      <c r="C26" t="s">
        <v>1</v>
      </c>
      <c r="D26" t="s">
        <v>0</v>
      </c>
      <c r="E26" s="1" t="s">
        <v>11</v>
      </c>
      <c r="F26" s="1" t="s">
        <v>128</v>
      </c>
      <c r="G26" s="1" t="s">
        <v>11</v>
      </c>
      <c r="H26" t="s">
        <v>0</v>
      </c>
      <c r="I26" s="96" t="str">
        <f t="shared" si="0"/>
        <v>arrButtonList(25)="disastig,disastig"</v>
      </c>
    </row>
    <row r="27" spans="1:9" x14ac:dyDescent="0.25">
      <c r="A27" t="s">
        <v>2</v>
      </c>
      <c r="B27">
        <v>26</v>
      </c>
      <c r="C27" t="s">
        <v>1</v>
      </c>
      <c r="D27" t="s">
        <v>0</v>
      </c>
      <c r="E27" s="1" t="s">
        <v>12</v>
      </c>
      <c r="F27" s="1" t="s">
        <v>128</v>
      </c>
      <c r="G27" s="1" t="s">
        <v>12</v>
      </c>
      <c r="H27" t="s">
        <v>0</v>
      </c>
      <c r="I27" s="96" t="str">
        <f t="shared" si="0"/>
        <v>arrButtonList(26)="documents,documents"</v>
      </c>
    </row>
    <row r="28" spans="1:9" x14ac:dyDescent="0.25">
      <c r="A28" t="s">
        <v>2</v>
      </c>
      <c r="B28">
        <v>27</v>
      </c>
      <c r="C28" t="s">
        <v>1</v>
      </c>
      <c r="D28" t="s">
        <v>0</v>
      </c>
      <c r="E28" s="1" t="s">
        <v>13</v>
      </c>
      <c r="F28" s="1" t="s">
        <v>128</v>
      </c>
      <c r="G28" s="1" t="s">
        <v>13</v>
      </c>
      <c r="H28" t="s">
        <v>0</v>
      </c>
      <c r="I28" s="96" t="str">
        <f t="shared" si="0"/>
        <v>arrButtonList(27)="dorito,dorito"</v>
      </c>
    </row>
    <row r="29" spans="1:9" x14ac:dyDescent="0.25">
      <c r="A29" t="s">
        <v>2</v>
      </c>
      <c r="B29">
        <v>28</v>
      </c>
      <c r="C29" t="s">
        <v>1</v>
      </c>
      <c r="D29" t="s">
        <v>0</v>
      </c>
      <c r="E29" s="1" t="s">
        <v>116</v>
      </c>
      <c r="F29" s="1" t="s">
        <v>128</v>
      </c>
      <c r="G29" s="1" t="s">
        <v>116</v>
      </c>
      <c r="H29" t="s">
        <v>0</v>
      </c>
      <c r="I29" s="96" t="str">
        <f t="shared" si="0"/>
        <v>arrButtonList(28)="dotblue,dotblue"</v>
      </c>
    </row>
    <row r="30" spans="1:9" x14ac:dyDescent="0.25">
      <c r="A30" t="s">
        <v>2</v>
      </c>
      <c r="B30">
        <v>29</v>
      </c>
      <c r="C30" t="s">
        <v>1</v>
      </c>
      <c r="D30" t="s">
        <v>0</v>
      </c>
      <c r="E30" s="1" t="s">
        <v>117</v>
      </c>
      <c r="F30" s="1" t="s">
        <v>128</v>
      </c>
      <c r="G30" s="1" t="s">
        <v>117</v>
      </c>
      <c r="H30" t="s">
        <v>0</v>
      </c>
      <c r="I30" s="96" t="str">
        <f t="shared" si="0"/>
        <v>arrButtonList(29)="dotgray,dotgray"</v>
      </c>
    </row>
    <row r="31" spans="1:9" x14ac:dyDescent="0.25">
      <c r="A31" t="s">
        <v>2</v>
      </c>
      <c r="B31">
        <v>30</v>
      </c>
      <c r="C31" t="s">
        <v>1</v>
      </c>
      <c r="D31" t="s">
        <v>0</v>
      </c>
      <c r="E31" s="1" t="s">
        <v>118</v>
      </c>
      <c r="F31" s="1" t="s">
        <v>128</v>
      </c>
      <c r="G31" s="1" t="s">
        <v>118</v>
      </c>
      <c r="H31" t="s">
        <v>0</v>
      </c>
      <c r="I31" s="96" t="str">
        <f t="shared" si="0"/>
        <v>arrButtonList(30)="dotgreen,dotgreen"</v>
      </c>
    </row>
    <row r="32" spans="1:9" x14ac:dyDescent="0.25">
      <c r="A32" t="s">
        <v>2</v>
      </c>
      <c r="B32">
        <v>31</v>
      </c>
      <c r="C32" t="s">
        <v>1</v>
      </c>
      <c r="D32" t="s">
        <v>0</v>
      </c>
      <c r="E32" s="1" t="s">
        <v>119</v>
      </c>
      <c r="F32" s="1" t="s">
        <v>128</v>
      </c>
      <c r="G32" s="1" t="s">
        <v>119</v>
      </c>
      <c r="H32" t="s">
        <v>0</v>
      </c>
      <c r="I32" s="96" t="str">
        <f t="shared" si="0"/>
        <v>arrButtonList(31)="dotred,dotred"</v>
      </c>
    </row>
    <row r="33" spans="1:9" x14ac:dyDescent="0.25">
      <c r="A33" t="s">
        <v>2</v>
      </c>
      <c r="B33">
        <v>32</v>
      </c>
      <c r="C33" t="s">
        <v>1</v>
      </c>
      <c r="D33" t="s">
        <v>0</v>
      </c>
      <c r="E33" s="1" t="s">
        <v>120</v>
      </c>
      <c r="F33" s="1" t="s">
        <v>128</v>
      </c>
      <c r="G33" s="1" t="s">
        <v>120</v>
      </c>
      <c r="H33" t="s">
        <v>0</v>
      </c>
      <c r="I33" s="96" t="str">
        <f t="shared" si="0"/>
        <v>arrButtonList(32)="dotyellow,dotyellow"</v>
      </c>
    </row>
    <row r="34" spans="1:9" x14ac:dyDescent="0.25">
      <c r="A34" t="s">
        <v>2</v>
      </c>
      <c r="B34">
        <v>33</v>
      </c>
      <c r="C34" t="s">
        <v>1</v>
      </c>
      <c r="D34" t="s">
        <v>0</v>
      </c>
      <c r="E34" s="1" t="s">
        <v>32</v>
      </c>
      <c r="F34" s="1" t="s">
        <v>128</v>
      </c>
      <c r="G34" s="1" t="s">
        <v>32</v>
      </c>
      <c r="H34" t="s">
        <v>0</v>
      </c>
      <c r="I34" s="96" t="str">
        <f t="shared" si="0"/>
        <v>arrButtonList(33)="dumper,dumper"</v>
      </c>
    </row>
    <row r="35" spans="1:9" x14ac:dyDescent="0.25">
      <c r="A35" t="s">
        <v>2</v>
      </c>
      <c r="B35">
        <v>34</v>
      </c>
      <c r="C35" t="s">
        <v>1</v>
      </c>
      <c r="D35" t="s">
        <v>0</v>
      </c>
      <c r="E35" s="1" t="s">
        <v>14</v>
      </c>
      <c r="F35" s="1" t="s">
        <v>128</v>
      </c>
      <c r="G35" s="1" t="s">
        <v>14</v>
      </c>
      <c r="H35" t="s">
        <v>0</v>
      </c>
      <c r="I35" s="96" t="str">
        <f t="shared" si="0"/>
        <v>arrButtonList(34)="favorites,favorites"</v>
      </c>
    </row>
    <row r="36" spans="1:9" x14ac:dyDescent="0.25">
      <c r="A36" t="s">
        <v>2</v>
      </c>
      <c r="B36">
        <v>35</v>
      </c>
      <c r="C36" t="s">
        <v>1</v>
      </c>
      <c r="D36" t="s">
        <v>0</v>
      </c>
      <c r="E36" s="1" t="s">
        <v>66</v>
      </c>
      <c r="F36" s="1" t="s">
        <v>128</v>
      </c>
      <c r="G36" s="1" t="s">
        <v>66</v>
      </c>
      <c r="H36" t="s">
        <v>0</v>
      </c>
      <c r="I36" s="96" t="str">
        <f t="shared" si="0"/>
        <v>arrButtonList(35)="firefox,firefox"</v>
      </c>
    </row>
    <row r="37" spans="1:9" x14ac:dyDescent="0.25">
      <c r="A37" t="s">
        <v>2</v>
      </c>
      <c r="B37">
        <v>36</v>
      </c>
      <c r="C37" t="s">
        <v>1</v>
      </c>
      <c r="D37" t="s">
        <v>0</v>
      </c>
      <c r="E37" s="1" t="s">
        <v>15</v>
      </c>
      <c r="F37" s="1" t="s">
        <v>128</v>
      </c>
      <c r="G37" s="1" t="s">
        <v>15</v>
      </c>
      <c r="H37" t="s">
        <v>0</v>
      </c>
      <c r="I37" s="96" t="str">
        <f t="shared" si="0"/>
        <v>arrButtonList(36)="flappyairman,flappyairman"</v>
      </c>
    </row>
    <row r="38" spans="1:9" x14ac:dyDescent="0.25">
      <c r="A38" t="s">
        <v>2</v>
      </c>
      <c r="B38">
        <v>37</v>
      </c>
      <c r="C38" t="s">
        <v>1</v>
      </c>
      <c r="D38" t="s">
        <v>0</v>
      </c>
      <c r="E38" s="1" t="s">
        <v>67</v>
      </c>
      <c r="F38" s="1" t="s">
        <v>128</v>
      </c>
      <c r="G38" s="1" t="s">
        <v>67</v>
      </c>
      <c r="H38" t="s">
        <v>0</v>
      </c>
      <c r="I38" s="96" t="str">
        <f t="shared" si="0"/>
        <v>arrButtonList(37)="folderblue,folderblue"</v>
      </c>
    </row>
    <row r="39" spans="1:9" x14ac:dyDescent="0.25">
      <c r="A39" t="s">
        <v>2</v>
      </c>
      <c r="B39">
        <v>38</v>
      </c>
      <c r="C39" t="s">
        <v>1</v>
      </c>
      <c r="D39" t="s">
        <v>0</v>
      </c>
      <c r="E39" s="1" t="s">
        <v>68</v>
      </c>
      <c r="F39" s="1" t="s">
        <v>128</v>
      </c>
      <c r="G39" s="1" t="s">
        <v>68</v>
      </c>
      <c r="H39" t="s">
        <v>0</v>
      </c>
      <c r="I39" s="96" t="str">
        <f t="shared" si="0"/>
        <v>arrButtonList(38)="foldergreen,foldergreen"</v>
      </c>
    </row>
    <row r="40" spans="1:9" x14ac:dyDescent="0.25">
      <c r="A40" t="s">
        <v>2</v>
      </c>
      <c r="B40">
        <v>39</v>
      </c>
      <c r="C40" t="s">
        <v>1</v>
      </c>
      <c r="D40" t="s">
        <v>0</v>
      </c>
      <c r="E40" s="1" t="s">
        <v>69</v>
      </c>
      <c r="F40" s="1" t="s">
        <v>128</v>
      </c>
      <c r="G40" s="1" t="s">
        <v>69</v>
      </c>
      <c r="H40" t="s">
        <v>0</v>
      </c>
      <c r="I40" s="96" t="str">
        <f t="shared" si="0"/>
        <v>arrButtonList(39)="folderpink,folderpink"</v>
      </c>
    </row>
    <row r="41" spans="1:9" x14ac:dyDescent="0.25">
      <c r="A41" t="s">
        <v>2</v>
      </c>
      <c r="B41">
        <v>40</v>
      </c>
      <c r="C41" t="s">
        <v>1</v>
      </c>
      <c r="D41" t="s">
        <v>0</v>
      </c>
      <c r="E41" s="1" t="s">
        <v>70</v>
      </c>
      <c r="F41" s="1" t="s">
        <v>128</v>
      </c>
      <c r="G41" s="1" t="s">
        <v>70</v>
      </c>
      <c r="H41" t="s">
        <v>0</v>
      </c>
      <c r="I41" s="96" t="str">
        <f t="shared" si="0"/>
        <v>arrButtonList(40)="folderpurple,folderpurple"</v>
      </c>
    </row>
    <row r="42" spans="1:9" x14ac:dyDescent="0.25">
      <c r="A42" t="s">
        <v>2</v>
      </c>
      <c r="B42">
        <v>41</v>
      </c>
      <c r="C42" t="s">
        <v>1</v>
      </c>
      <c r="D42" t="s">
        <v>0</v>
      </c>
      <c r="E42" s="1" t="s">
        <v>71</v>
      </c>
      <c r="F42" s="1" t="s">
        <v>128</v>
      </c>
      <c r="G42" s="1" t="s">
        <v>71</v>
      </c>
      <c r="H42" t="s">
        <v>0</v>
      </c>
      <c r="I42" s="96" t="str">
        <f t="shared" si="0"/>
        <v>arrButtonList(41)="game,game"</v>
      </c>
    </row>
    <row r="43" spans="1:9" x14ac:dyDescent="0.25">
      <c r="A43" t="s">
        <v>2</v>
      </c>
      <c r="B43">
        <v>42</v>
      </c>
      <c r="C43" t="s">
        <v>1</v>
      </c>
      <c r="D43" t="s">
        <v>0</v>
      </c>
      <c r="E43" s="1" t="s">
        <v>121</v>
      </c>
      <c r="F43" s="1" t="s">
        <v>128</v>
      </c>
      <c r="G43" s="1" t="s">
        <v>121</v>
      </c>
      <c r="H43" t="s">
        <v>0</v>
      </c>
      <c r="I43" s="96" t="str">
        <f t="shared" si="0"/>
        <v>arrButtonList(42)="gimp,gimp"</v>
      </c>
    </row>
    <row r="44" spans="1:9" x14ac:dyDescent="0.25">
      <c r="A44" t="s">
        <v>2</v>
      </c>
      <c r="B44">
        <v>43</v>
      </c>
      <c r="C44" t="s">
        <v>1</v>
      </c>
      <c r="D44" t="s">
        <v>0</v>
      </c>
      <c r="E44" s="1" t="s">
        <v>17</v>
      </c>
      <c r="F44" s="1" t="s">
        <v>128</v>
      </c>
      <c r="G44" s="1" t="s">
        <v>17</v>
      </c>
      <c r="H44" t="s">
        <v>0</v>
      </c>
      <c r="I44" s="96" t="str">
        <f t="shared" si="0"/>
        <v>arrButtonList(43)="gns3,gns3"</v>
      </c>
    </row>
    <row r="45" spans="1:9" x14ac:dyDescent="0.25">
      <c r="A45" t="s">
        <v>2</v>
      </c>
      <c r="B45">
        <v>44</v>
      </c>
      <c r="C45" t="s">
        <v>1</v>
      </c>
      <c r="D45" t="s">
        <v>0</v>
      </c>
      <c r="E45" s="1" t="s">
        <v>18</v>
      </c>
      <c r="F45" s="1" t="s">
        <v>128</v>
      </c>
      <c r="G45" s="1" t="s">
        <v>18</v>
      </c>
      <c r="H45" t="s">
        <v>0</v>
      </c>
      <c r="I45" s="96" t="str">
        <f t="shared" si="0"/>
        <v>arrButtonList(44)="greenbutton,greenbutton"</v>
      </c>
    </row>
    <row r="46" spans="1:9" x14ac:dyDescent="0.25">
      <c r="A46" t="s">
        <v>2</v>
      </c>
      <c r="B46">
        <v>45</v>
      </c>
      <c r="C46" t="s">
        <v>1</v>
      </c>
      <c r="D46" t="s">
        <v>0</v>
      </c>
      <c r="E46" s="1" t="s">
        <v>19</v>
      </c>
      <c r="F46" s="1" t="s">
        <v>128</v>
      </c>
      <c r="G46" s="1" t="s">
        <v>19</v>
      </c>
      <c r="H46" t="s">
        <v>0</v>
      </c>
      <c r="I46" s="96" t="str">
        <f t="shared" si="0"/>
        <v>arrButtonList(45)="grizzmon,grizzmon"</v>
      </c>
    </row>
    <row r="47" spans="1:9" x14ac:dyDescent="0.25">
      <c r="A47" t="s">
        <v>2</v>
      </c>
      <c r="B47">
        <v>46</v>
      </c>
      <c r="C47" t="s">
        <v>1</v>
      </c>
      <c r="D47" t="s">
        <v>0</v>
      </c>
      <c r="E47" s="1" t="s">
        <v>72</v>
      </c>
      <c r="F47" s="1" t="s">
        <v>128</v>
      </c>
      <c r="G47" s="1" t="s">
        <v>72</v>
      </c>
      <c r="H47" t="s">
        <v>0</v>
      </c>
      <c r="I47" s="96" t="str">
        <f t="shared" si="0"/>
        <v>arrButtonList(46)="heart,heart"</v>
      </c>
    </row>
    <row r="48" spans="1:9" x14ac:dyDescent="0.25">
      <c r="A48" t="s">
        <v>2</v>
      </c>
      <c r="B48">
        <v>47</v>
      </c>
      <c r="C48" t="s">
        <v>1</v>
      </c>
      <c r="D48" t="s">
        <v>0</v>
      </c>
      <c r="E48" s="1" t="s">
        <v>122</v>
      </c>
      <c r="F48" s="1" t="s">
        <v>128</v>
      </c>
      <c r="G48" s="1" t="s">
        <v>122</v>
      </c>
      <c r="H48" t="s">
        <v>0</v>
      </c>
      <c r="I48" s="96" t="str">
        <f t="shared" si="0"/>
        <v>arrButtonList(47)="help,help"</v>
      </c>
    </row>
    <row r="49" spans="1:9" x14ac:dyDescent="0.25">
      <c r="A49" t="s">
        <v>2</v>
      </c>
      <c r="B49">
        <v>48</v>
      </c>
      <c r="C49" t="s">
        <v>1</v>
      </c>
      <c r="D49" t="s">
        <v>0</v>
      </c>
      <c r="E49" s="1" t="s">
        <v>16</v>
      </c>
      <c r="F49" s="1" t="s">
        <v>128</v>
      </c>
      <c r="G49" s="1" t="s">
        <v>16</v>
      </c>
      <c r="H49" t="s">
        <v>0</v>
      </c>
      <c r="I49" s="96" t="str">
        <f t="shared" si="0"/>
        <v>arrButtonList(48)="homefolder,homefolder"</v>
      </c>
    </row>
    <row r="50" spans="1:9" x14ac:dyDescent="0.25">
      <c r="A50" t="s">
        <v>2</v>
      </c>
      <c r="B50">
        <v>49</v>
      </c>
      <c r="C50" t="s">
        <v>1</v>
      </c>
      <c r="D50" t="s">
        <v>0</v>
      </c>
      <c r="E50" s="1" t="s">
        <v>20</v>
      </c>
      <c r="F50" s="1" t="s">
        <v>128</v>
      </c>
      <c r="G50" s="1" t="s">
        <v>20</v>
      </c>
      <c r="H50" t="s">
        <v>0</v>
      </c>
      <c r="I50" s="96" t="str">
        <f t="shared" si="0"/>
        <v>arrButtonList(49)="hyperterminal,hyperterminal"</v>
      </c>
    </row>
    <row r="51" spans="1:9" x14ac:dyDescent="0.25">
      <c r="A51" t="s">
        <v>2</v>
      </c>
      <c r="B51">
        <v>50</v>
      </c>
      <c r="C51" t="s">
        <v>1</v>
      </c>
      <c r="D51" t="s">
        <v>0</v>
      </c>
      <c r="E51" s="1" t="s">
        <v>73</v>
      </c>
      <c r="F51" s="1" t="s">
        <v>128</v>
      </c>
      <c r="G51" s="1" t="s">
        <v>73</v>
      </c>
      <c r="H51" t="s">
        <v>0</v>
      </c>
      <c r="I51" s="96" t="str">
        <f t="shared" si="0"/>
        <v>arrButtonList(50)="iexplore,iexplore"</v>
      </c>
    </row>
    <row r="52" spans="1:9" x14ac:dyDescent="0.25">
      <c r="A52" t="s">
        <v>2</v>
      </c>
      <c r="B52">
        <v>51</v>
      </c>
      <c r="C52" t="s">
        <v>1</v>
      </c>
      <c r="D52" t="s">
        <v>0</v>
      </c>
      <c r="E52" s="1" t="s">
        <v>74</v>
      </c>
      <c r="F52" s="1" t="s">
        <v>128</v>
      </c>
      <c r="G52" s="1" t="s">
        <v>74</v>
      </c>
      <c r="H52" t="s">
        <v>0</v>
      </c>
      <c r="I52" s="96" t="str">
        <f t="shared" si="0"/>
        <v>arrButtonList(51)="infoblox1,infoblox1"</v>
      </c>
    </row>
    <row r="53" spans="1:9" x14ac:dyDescent="0.25">
      <c r="A53" t="s">
        <v>2</v>
      </c>
      <c r="B53">
        <v>52</v>
      </c>
      <c r="C53" t="s">
        <v>1</v>
      </c>
      <c r="D53" t="s">
        <v>0</v>
      </c>
      <c r="E53" s="1" t="s">
        <v>75</v>
      </c>
      <c r="F53" s="1" t="s">
        <v>128</v>
      </c>
      <c r="G53" s="1" t="s">
        <v>75</v>
      </c>
      <c r="H53" t="s">
        <v>0</v>
      </c>
      <c r="I53" s="96" t="str">
        <f t="shared" si="0"/>
        <v>arrButtonList(52)="infoblox2,infoblox2"</v>
      </c>
    </row>
    <row r="54" spans="1:9" x14ac:dyDescent="0.25">
      <c r="A54" t="s">
        <v>2</v>
      </c>
      <c r="B54">
        <v>53</v>
      </c>
      <c r="C54" t="s">
        <v>1</v>
      </c>
      <c r="D54" t="s">
        <v>0</v>
      </c>
      <c r="E54" s="1" t="s">
        <v>21</v>
      </c>
      <c r="F54" s="1" t="s">
        <v>128</v>
      </c>
      <c r="G54" s="1" t="s">
        <v>21</v>
      </c>
      <c r="H54" t="s">
        <v>0</v>
      </c>
      <c r="I54" s="96" t="str">
        <f t="shared" si="0"/>
        <v>arrButtonList(53)="ipconfig,ipconfig"</v>
      </c>
    </row>
    <row r="55" spans="1:9" x14ac:dyDescent="0.25">
      <c r="A55" t="s">
        <v>2</v>
      </c>
      <c r="B55">
        <v>54</v>
      </c>
      <c r="C55" t="s">
        <v>1</v>
      </c>
      <c r="D55" t="s">
        <v>0</v>
      </c>
      <c r="E55" s="1" t="s">
        <v>22</v>
      </c>
      <c r="F55" s="1" t="s">
        <v>128</v>
      </c>
      <c r="G55" s="1" t="s">
        <v>22</v>
      </c>
      <c r="H55" t="s">
        <v>0</v>
      </c>
      <c r="I55" s="96" t="str">
        <f t="shared" si="0"/>
        <v>arrButtonList(54)="ipranger,ipranger"</v>
      </c>
    </row>
    <row r="56" spans="1:9" x14ac:dyDescent="0.25">
      <c r="A56" t="s">
        <v>2</v>
      </c>
      <c r="B56">
        <v>55</v>
      </c>
      <c r="C56" t="s">
        <v>1</v>
      </c>
      <c r="D56" t="s">
        <v>0</v>
      </c>
      <c r="E56" s="1" t="s">
        <v>123</v>
      </c>
      <c r="F56" s="1" t="s">
        <v>128</v>
      </c>
      <c r="G56" s="1" t="s">
        <v>123</v>
      </c>
      <c r="H56" t="s">
        <v>0</v>
      </c>
      <c r="I56" s="96" t="str">
        <f t="shared" si="0"/>
        <v>arrButtonList(55)="kanban,kanban"</v>
      </c>
    </row>
    <row r="57" spans="1:9" x14ac:dyDescent="0.25">
      <c r="A57" t="s">
        <v>2</v>
      </c>
      <c r="B57">
        <v>56</v>
      </c>
      <c r="C57" t="s">
        <v>1</v>
      </c>
      <c r="D57" t="s">
        <v>0</v>
      </c>
      <c r="E57" s="1" t="s">
        <v>23</v>
      </c>
      <c r="F57" s="1" t="s">
        <v>128</v>
      </c>
      <c r="G57" s="1" t="s">
        <v>23</v>
      </c>
      <c r="H57" t="s">
        <v>0</v>
      </c>
      <c r="I57" s="96" t="str">
        <f t="shared" si="0"/>
        <v>arrButtonList(56)="kitty,kitty"</v>
      </c>
    </row>
    <row r="58" spans="1:9" x14ac:dyDescent="0.25">
      <c r="A58" t="s">
        <v>2</v>
      </c>
      <c r="B58">
        <v>57</v>
      </c>
      <c r="C58" t="s">
        <v>1</v>
      </c>
      <c r="D58" t="s">
        <v>0</v>
      </c>
      <c r="E58" s="1" t="s">
        <v>106</v>
      </c>
      <c r="F58" s="1" t="s">
        <v>128</v>
      </c>
      <c r="G58" s="1" t="s">
        <v>106</v>
      </c>
      <c r="H58" t="s">
        <v>0</v>
      </c>
      <c r="I58" s="96" t="str">
        <f t="shared" si="0"/>
        <v>arrButtonList(57)="linuxblue,linuxblue"</v>
      </c>
    </row>
    <row r="59" spans="1:9" x14ac:dyDescent="0.25">
      <c r="A59" t="s">
        <v>2</v>
      </c>
      <c r="B59">
        <v>58</v>
      </c>
      <c r="C59" t="s">
        <v>1</v>
      </c>
      <c r="D59" t="s">
        <v>0</v>
      </c>
      <c r="E59" s="1" t="s">
        <v>107</v>
      </c>
      <c r="F59" s="1" t="s">
        <v>128</v>
      </c>
      <c r="G59" s="1" t="s">
        <v>107</v>
      </c>
      <c r="H59" t="s">
        <v>0</v>
      </c>
      <c r="I59" s="96" t="str">
        <f t="shared" si="0"/>
        <v>arrButtonList(58)="linuxgreen,linuxgreen"</v>
      </c>
    </row>
    <row r="60" spans="1:9" x14ac:dyDescent="0.25">
      <c r="A60" t="s">
        <v>2</v>
      </c>
      <c r="B60">
        <v>59</v>
      </c>
      <c r="C60" t="s">
        <v>1</v>
      </c>
      <c r="D60" t="s">
        <v>0</v>
      </c>
      <c r="E60" s="1" t="s">
        <v>108</v>
      </c>
      <c r="F60" s="1" t="s">
        <v>128</v>
      </c>
      <c r="G60" s="1" t="s">
        <v>108</v>
      </c>
      <c r="H60" t="s">
        <v>0</v>
      </c>
      <c r="I60" s="96" t="str">
        <f t="shared" si="0"/>
        <v>arrButtonList(59)="linuxpink,linuxpink"</v>
      </c>
    </row>
    <row r="61" spans="1:9" x14ac:dyDescent="0.25">
      <c r="A61" t="s">
        <v>2</v>
      </c>
      <c r="B61">
        <v>60</v>
      </c>
      <c r="C61" t="s">
        <v>1</v>
      </c>
      <c r="D61" t="s">
        <v>0</v>
      </c>
      <c r="E61" s="1" t="s">
        <v>105</v>
      </c>
      <c r="F61" s="1" t="s">
        <v>128</v>
      </c>
      <c r="G61" s="1" t="s">
        <v>105</v>
      </c>
      <c r="H61" t="s">
        <v>0</v>
      </c>
      <c r="I61" s="96" t="str">
        <f t="shared" si="0"/>
        <v>arrButtonList(60)="linuxpurple,linuxpurple"</v>
      </c>
    </row>
    <row r="62" spans="1:9" x14ac:dyDescent="0.25">
      <c r="A62" t="s">
        <v>2</v>
      </c>
      <c r="B62">
        <v>61</v>
      </c>
      <c r="C62" t="s">
        <v>1</v>
      </c>
      <c r="D62" t="s">
        <v>0</v>
      </c>
      <c r="E62" s="1" t="s">
        <v>109</v>
      </c>
      <c r="F62" s="1" t="s">
        <v>128</v>
      </c>
      <c r="G62" s="1" t="s">
        <v>109</v>
      </c>
      <c r="H62" t="s">
        <v>0</v>
      </c>
      <c r="I62" s="96" t="str">
        <f t="shared" si="0"/>
        <v>arrButtonList(61)="linuxyellow,linuxyellow"</v>
      </c>
    </row>
    <row r="63" spans="1:9" x14ac:dyDescent="0.25">
      <c r="A63" t="s">
        <v>2</v>
      </c>
      <c r="B63">
        <v>62</v>
      </c>
      <c r="C63" t="s">
        <v>1</v>
      </c>
      <c r="D63" t="s">
        <v>0</v>
      </c>
      <c r="E63" s="1" t="s">
        <v>24</v>
      </c>
      <c r="F63" s="1" t="s">
        <v>128</v>
      </c>
      <c r="G63" s="1" t="s">
        <v>24</v>
      </c>
      <c r="H63" t="s">
        <v>0</v>
      </c>
      <c r="I63" s="96" t="str">
        <f t="shared" si="0"/>
        <v>arrButtonList(62)="lock,lock"</v>
      </c>
    </row>
    <row r="64" spans="1:9" x14ac:dyDescent="0.25">
      <c r="A64" t="s">
        <v>2</v>
      </c>
      <c r="B64">
        <v>63</v>
      </c>
      <c r="C64" t="s">
        <v>1</v>
      </c>
      <c r="D64" t="s">
        <v>0</v>
      </c>
      <c r="E64" s="1" t="s">
        <v>77</v>
      </c>
      <c r="F64" s="1" t="s">
        <v>128</v>
      </c>
      <c r="G64" s="1" t="s">
        <v>77</v>
      </c>
      <c r="H64" t="s">
        <v>0</v>
      </c>
      <c r="I64" s="96" t="str">
        <f t="shared" si="0"/>
        <v>arrButtonList(63)="map,map"</v>
      </c>
    </row>
    <row r="65" spans="1:9" x14ac:dyDescent="0.25">
      <c r="A65" t="s">
        <v>2</v>
      </c>
      <c r="B65">
        <v>64</v>
      </c>
      <c r="C65" t="s">
        <v>1</v>
      </c>
      <c r="D65" t="s">
        <v>0</v>
      </c>
      <c r="E65" s="1" t="s">
        <v>27</v>
      </c>
      <c r="F65" s="1" t="s">
        <v>128</v>
      </c>
      <c r="G65" s="1" t="s">
        <v>27</v>
      </c>
      <c r="H65" t="s">
        <v>0</v>
      </c>
      <c r="I65" s="96" t="str">
        <f t="shared" si="0"/>
        <v>arrButtonList(64)="masterstationlog,masterstationlog"</v>
      </c>
    </row>
    <row r="66" spans="1:9" x14ac:dyDescent="0.25">
      <c r="A66" t="s">
        <v>2</v>
      </c>
      <c r="B66">
        <v>65</v>
      </c>
      <c r="C66" t="s">
        <v>1</v>
      </c>
      <c r="D66" t="s">
        <v>0</v>
      </c>
      <c r="E66" s="1" t="s">
        <v>25</v>
      </c>
      <c r="F66" s="1" t="s">
        <v>128</v>
      </c>
      <c r="G66" s="1" t="s">
        <v>25</v>
      </c>
      <c r="H66" t="s">
        <v>0</v>
      </c>
      <c r="I66" s="96" t="str">
        <f t="shared" ref="I66:I125" si="1">A66&amp;B66&amp;C66&amp;D66&amp;E66&amp;F66&amp;G66&amp;H66</f>
        <v>arrButtonList(65)="meerworksimulator,meerworksimulator"</v>
      </c>
    </row>
    <row r="67" spans="1:9" x14ac:dyDescent="0.25">
      <c r="A67" t="s">
        <v>2</v>
      </c>
      <c r="B67">
        <v>66</v>
      </c>
      <c r="C67" t="s">
        <v>1</v>
      </c>
      <c r="D67" t="s">
        <v>0</v>
      </c>
      <c r="E67" s="1" t="s">
        <v>26</v>
      </c>
      <c r="F67" s="1" t="s">
        <v>128</v>
      </c>
      <c r="G67" s="1" t="s">
        <v>26</v>
      </c>
      <c r="H67" t="s">
        <v>0</v>
      </c>
      <c r="I67" s="96" t="str">
        <f t="shared" si="1"/>
        <v>arrButtonList(66)="mmconsole,mmconsole"</v>
      </c>
    </row>
    <row r="68" spans="1:9" x14ac:dyDescent="0.25">
      <c r="A68" t="s">
        <v>2</v>
      </c>
      <c r="B68">
        <v>67</v>
      </c>
      <c r="C68" t="s">
        <v>1</v>
      </c>
      <c r="D68" t="s">
        <v>0</v>
      </c>
      <c r="E68" s="1" t="s">
        <v>78</v>
      </c>
      <c r="F68" s="1" t="s">
        <v>128</v>
      </c>
      <c r="G68" s="1" t="s">
        <v>78</v>
      </c>
      <c r="H68" t="s">
        <v>0</v>
      </c>
      <c r="I68" s="96" t="str">
        <f t="shared" si="1"/>
        <v>arrButtonList(67)="msedge,msedge"</v>
      </c>
    </row>
    <row r="69" spans="1:9" x14ac:dyDescent="0.25">
      <c r="A69" t="s">
        <v>2</v>
      </c>
      <c r="B69">
        <v>68</v>
      </c>
      <c r="C69" t="s">
        <v>1</v>
      </c>
      <c r="D69" t="s">
        <v>0</v>
      </c>
      <c r="E69" s="1" t="s">
        <v>28</v>
      </c>
      <c r="F69" s="1" t="s">
        <v>128</v>
      </c>
      <c r="G69" s="1" t="s">
        <v>28</v>
      </c>
      <c r="H69" t="s">
        <v>0</v>
      </c>
      <c r="I69" s="96" t="str">
        <f t="shared" si="1"/>
        <v>arrButtonList(68)="mushroom,mushroom"</v>
      </c>
    </row>
    <row r="70" spans="1:9" x14ac:dyDescent="0.25">
      <c r="A70" t="s">
        <v>2</v>
      </c>
      <c r="B70">
        <v>69</v>
      </c>
      <c r="C70" t="s">
        <v>1</v>
      </c>
      <c r="D70" t="s">
        <v>0</v>
      </c>
      <c r="E70" s="1" t="s">
        <v>124</v>
      </c>
      <c r="F70" s="1" t="s">
        <v>128</v>
      </c>
      <c r="G70" s="1" t="s">
        <v>124</v>
      </c>
      <c r="H70" t="s">
        <v>0</v>
      </c>
      <c r="I70" s="96" t="str">
        <f t="shared" si="1"/>
        <v>arrButtonList(69)="music,music"</v>
      </c>
    </row>
    <row r="71" spans="1:9" x14ac:dyDescent="0.25">
      <c r="A71" t="s">
        <v>2</v>
      </c>
      <c r="B71">
        <v>70</v>
      </c>
      <c r="C71" t="s">
        <v>1</v>
      </c>
      <c r="D71" t="s">
        <v>0</v>
      </c>
      <c r="E71" s="1" t="s">
        <v>29</v>
      </c>
      <c r="F71" s="1" t="s">
        <v>128</v>
      </c>
      <c r="G71" s="1" t="s">
        <v>29</v>
      </c>
      <c r="H71" t="s">
        <v>0</v>
      </c>
      <c r="I71" s="96" t="str">
        <f t="shared" si="1"/>
        <v>arrButtonList(70)="notepad,notepad"</v>
      </c>
    </row>
    <row r="72" spans="1:9" x14ac:dyDescent="0.25">
      <c r="A72" t="s">
        <v>2</v>
      </c>
      <c r="B72">
        <v>71</v>
      </c>
      <c r="C72" t="s">
        <v>1</v>
      </c>
      <c r="D72" t="s">
        <v>0</v>
      </c>
      <c r="E72" s="1" t="s">
        <v>30</v>
      </c>
      <c r="F72" s="1" t="s">
        <v>128</v>
      </c>
      <c r="G72" s="1" t="s">
        <v>30</v>
      </c>
      <c r="H72" t="s">
        <v>0</v>
      </c>
      <c r="I72" s="96" t="str">
        <f t="shared" si="1"/>
        <v>arrButtonList(71)="onenote,onenote"</v>
      </c>
    </row>
    <row r="73" spans="1:9" x14ac:dyDescent="0.25">
      <c r="A73" t="s">
        <v>2</v>
      </c>
      <c r="B73">
        <v>72</v>
      </c>
      <c r="C73" t="s">
        <v>1</v>
      </c>
      <c r="D73" t="s">
        <v>0</v>
      </c>
      <c r="E73" s="1" t="s">
        <v>79</v>
      </c>
      <c r="F73" s="1" t="s">
        <v>128</v>
      </c>
      <c r="G73" s="1" t="s">
        <v>79</v>
      </c>
      <c r="H73" t="s">
        <v>0</v>
      </c>
      <c r="I73" s="96" t="str">
        <f t="shared" si="1"/>
        <v>arrButtonList(72)="owa,owa"</v>
      </c>
    </row>
    <row r="74" spans="1:9" x14ac:dyDescent="0.25">
      <c r="A74" t="s">
        <v>2</v>
      </c>
      <c r="B74">
        <v>73</v>
      </c>
      <c r="C74" t="s">
        <v>1</v>
      </c>
      <c r="D74" t="s">
        <v>0</v>
      </c>
      <c r="E74" s="1" t="s">
        <v>80</v>
      </c>
      <c r="F74" s="1" t="s">
        <v>128</v>
      </c>
      <c r="G74" s="1" t="s">
        <v>80</v>
      </c>
      <c r="H74" t="s">
        <v>0</v>
      </c>
      <c r="I74" s="96" t="str">
        <f t="shared" si="1"/>
        <v>arrButtonList(73)="phoneblue,phoneblue"</v>
      </c>
    </row>
    <row r="75" spans="1:9" x14ac:dyDescent="0.25">
      <c r="A75" t="s">
        <v>2</v>
      </c>
      <c r="B75">
        <v>74</v>
      </c>
      <c r="C75" t="s">
        <v>1</v>
      </c>
      <c r="D75" t="s">
        <v>0</v>
      </c>
      <c r="E75" s="1" t="s">
        <v>81</v>
      </c>
      <c r="F75" s="1" t="s">
        <v>128</v>
      </c>
      <c r="G75" s="1" t="s">
        <v>81</v>
      </c>
      <c r="H75" t="s">
        <v>0</v>
      </c>
      <c r="I75" s="96" t="str">
        <f t="shared" si="1"/>
        <v>arrButtonList(74)="phonegreen,phonegreen"</v>
      </c>
    </row>
    <row r="76" spans="1:9" x14ac:dyDescent="0.25">
      <c r="A76" t="s">
        <v>2</v>
      </c>
      <c r="B76">
        <v>75</v>
      </c>
      <c r="C76" t="s">
        <v>1</v>
      </c>
      <c r="D76" t="s">
        <v>0</v>
      </c>
      <c r="E76" s="1" t="s">
        <v>82</v>
      </c>
      <c r="F76" s="1" t="s">
        <v>128</v>
      </c>
      <c r="G76" s="1" t="s">
        <v>82</v>
      </c>
      <c r="H76" t="s">
        <v>0</v>
      </c>
      <c r="I76" s="96" t="str">
        <f t="shared" si="1"/>
        <v>arrButtonList(75)="phoneorange,phoneorange"</v>
      </c>
    </row>
    <row r="77" spans="1:9" x14ac:dyDescent="0.25">
      <c r="A77" t="s">
        <v>2</v>
      </c>
      <c r="B77">
        <v>76</v>
      </c>
      <c r="C77" t="s">
        <v>1</v>
      </c>
      <c r="D77" t="s">
        <v>0</v>
      </c>
      <c r="E77" s="1" t="s">
        <v>83</v>
      </c>
      <c r="F77" s="1" t="s">
        <v>128</v>
      </c>
      <c r="G77" s="1" t="s">
        <v>83</v>
      </c>
      <c r="H77" t="s">
        <v>0</v>
      </c>
      <c r="I77" s="96" t="str">
        <f t="shared" si="1"/>
        <v>arrButtonList(76)="phonepurple,phonepurple"</v>
      </c>
    </row>
    <row r="78" spans="1:9" x14ac:dyDescent="0.25">
      <c r="A78" t="s">
        <v>2</v>
      </c>
      <c r="B78">
        <v>77</v>
      </c>
      <c r="C78" t="s">
        <v>1</v>
      </c>
      <c r="D78" t="s">
        <v>0</v>
      </c>
      <c r="E78" s="1" t="s">
        <v>31</v>
      </c>
      <c r="F78" s="1" t="s">
        <v>128</v>
      </c>
      <c r="G78" s="1" t="s">
        <v>31</v>
      </c>
      <c r="H78" t="s">
        <v>0</v>
      </c>
      <c r="I78" s="96" t="str">
        <f t="shared" si="1"/>
        <v>arrButtonList(77)="plink,plink"</v>
      </c>
    </row>
    <row r="79" spans="1:9" x14ac:dyDescent="0.25">
      <c r="A79" t="s">
        <v>2</v>
      </c>
      <c r="B79">
        <v>78</v>
      </c>
      <c r="C79" t="s">
        <v>1</v>
      </c>
      <c r="D79" t="s">
        <v>0</v>
      </c>
      <c r="E79" s="1" t="s">
        <v>33</v>
      </c>
      <c r="F79" s="1" t="s">
        <v>128</v>
      </c>
      <c r="G79" s="1" t="s">
        <v>33</v>
      </c>
      <c r="H79" t="s">
        <v>0</v>
      </c>
      <c r="I79" s="96" t="str">
        <f t="shared" si="1"/>
        <v>arrButtonList(78)="portscan,portscan"</v>
      </c>
    </row>
    <row r="80" spans="1:9" x14ac:dyDescent="0.25">
      <c r="A80" t="s">
        <v>2</v>
      </c>
      <c r="B80">
        <v>79</v>
      </c>
      <c r="C80" t="s">
        <v>1</v>
      </c>
      <c r="D80" t="s">
        <v>0</v>
      </c>
      <c r="E80" s="1" t="s">
        <v>34</v>
      </c>
      <c r="F80" s="1" t="s">
        <v>128</v>
      </c>
      <c r="G80" s="1" t="s">
        <v>34</v>
      </c>
      <c r="H80" t="s">
        <v>0</v>
      </c>
      <c r="I80" s="96" t="str">
        <f t="shared" si="1"/>
        <v>arrButtonList(79)="pumpkin,pumpkin"</v>
      </c>
    </row>
    <row r="81" spans="1:9" x14ac:dyDescent="0.25">
      <c r="A81" t="s">
        <v>2</v>
      </c>
      <c r="B81">
        <v>80</v>
      </c>
      <c r="C81" t="s">
        <v>1</v>
      </c>
      <c r="D81" t="s">
        <v>0</v>
      </c>
      <c r="E81" s="1" t="s">
        <v>35</v>
      </c>
      <c r="F81" s="1" t="s">
        <v>128</v>
      </c>
      <c r="G81" s="1" t="s">
        <v>35</v>
      </c>
      <c r="H81" t="s">
        <v>0</v>
      </c>
      <c r="I81" s="96" t="str">
        <f t="shared" si="1"/>
        <v>arrButtonList(80)="putty,putty"</v>
      </c>
    </row>
    <row r="82" spans="1:9" x14ac:dyDescent="0.25">
      <c r="A82" t="s">
        <v>2</v>
      </c>
      <c r="B82">
        <v>81</v>
      </c>
      <c r="C82" t="s">
        <v>1</v>
      </c>
      <c r="D82" t="s">
        <v>0</v>
      </c>
      <c r="E82" s="1" t="s">
        <v>36</v>
      </c>
      <c r="F82" s="1" t="s">
        <v>128</v>
      </c>
      <c r="G82" s="1" t="s">
        <v>36</v>
      </c>
      <c r="H82" t="s">
        <v>0</v>
      </c>
      <c r="I82" s="96" t="str">
        <f t="shared" si="1"/>
        <v>arrButtonList(81)="puttyfaded,puttyfaded"</v>
      </c>
    </row>
    <row r="83" spans="1:9" x14ac:dyDescent="0.25">
      <c r="A83" t="s">
        <v>2</v>
      </c>
      <c r="B83">
        <v>82</v>
      </c>
      <c r="C83" t="s">
        <v>1</v>
      </c>
      <c r="D83" t="s">
        <v>0</v>
      </c>
      <c r="E83" s="1" t="s">
        <v>110</v>
      </c>
      <c r="F83" s="1" t="s">
        <v>128</v>
      </c>
      <c r="G83" s="1" t="s">
        <v>110</v>
      </c>
      <c r="H83" t="s">
        <v>0</v>
      </c>
      <c r="I83" s="96" t="str">
        <f t="shared" si="1"/>
        <v>arrButtonList(82)="qrcode,qrcode"</v>
      </c>
    </row>
    <row r="84" spans="1:9" x14ac:dyDescent="0.25">
      <c r="A84" t="s">
        <v>2</v>
      </c>
      <c r="B84">
        <v>83</v>
      </c>
      <c r="C84" t="s">
        <v>1</v>
      </c>
      <c r="D84" t="s">
        <v>0</v>
      </c>
      <c r="E84" s="1" t="s">
        <v>125</v>
      </c>
      <c r="F84" s="1" t="s">
        <v>128</v>
      </c>
      <c r="G84" s="1" t="s">
        <v>125</v>
      </c>
      <c r="H84" t="s">
        <v>0</v>
      </c>
      <c r="I84" s="96" t="str">
        <f t="shared" si="1"/>
        <v>arrButtonList(83)="reddit,reddit"</v>
      </c>
    </row>
    <row r="85" spans="1:9" x14ac:dyDescent="0.25">
      <c r="A85" t="s">
        <v>2</v>
      </c>
      <c r="B85">
        <v>84</v>
      </c>
      <c r="C85" t="s">
        <v>1</v>
      </c>
      <c r="D85" t="s">
        <v>0</v>
      </c>
      <c r="E85" s="1" t="s">
        <v>84</v>
      </c>
      <c r="F85" s="1" t="s">
        <v>128</v>
      </c>
      <c r="G85" s="1" t="s">
        <v>84</v>
      </c>
      <c r="H85" t="s">
        <v>0</v>
      </c>
      <c r="I85" s="96" t="str">
        <f t="shared" si="1"/>
        <v>arrButtonList(84)="router,router"</v>
      </c>
    </row>
    <row r="86" spans="1:9" x14ac:dyDescent="0.25">
      <c r="A86" t="s">
        <v>2</v>
      </c>
      <c r="B86">
        <v>85</v>
      </c>
      <c r="C86" t="s">
        <v>1</v>
      </c>
      <c r="D86" t="s">
        <v>0</v>
      </c>
      <c r="E86" s="1" t="s">
        <v>37</v>
      </c>
      <c r="F86" s="1" t="s">
        <v>128</v>
      </c>
      <c r="G86" s="1" t="s">
        <v>37</v>
      </c>
      <c r="H86" t="s">
        <v>0</v>
      </c>
      <c r="I86" s="96" t="str">
        <f t="shared" si="1"/>
        <v>arrButtonList(85)="scriptshop,scriptshop"</v>
      </c>
    </row>
    <row r="87" spans="1:9" x14ac:dyDescent="0.25">
      <c r="A87" t="s">
        <v>2</v>
      </c>
      <c r="B87">
        <v>86</v>
      </c>
      <c r="C87" t="s">
        <v>1</v>
      </c>
      <c r="D87" t="s">
        <v>0</v>
      </c>
      <c r="E87" s="1" t="s">
        <v>38</v>
      </c>
      <c r="F87" s="1" t="s">
        <v>128</v>
      </c>
      <c r="G87" s="1" t="s">
        <v>38</v>
      </c>
      <c r="H87" t="s">
        <v>0</v>
      </c>
      <c r="I87" s="96" t="str">
        <f t="shared" si="1"/>
        <v>arrButtonList(86)="securecrt,securecrt"</v>
      </c>
    </row>
    <row r="88" spans="1:9" x14ac:dyDescent="0.25">
      <c r="A88" t="s">
        <v>2</v>
      </c>
      <c r="B88">
        <v>87</v>
      </c>
      <c r="C88" t="s">
        <v>1</v>
      </c>
      <c r="D88" t="s">
        <v>0</v>
      </c>
      <c r="E88" s="1" t="s">
        <v>39</v>
      </c>
      <c r="F88" s="1" t="s">
        <v>128</v>
      </c>
      <c r="G88" s="1" t="s">
        <v>39</v>
      </c>
      <c r="H88" t="s">
        <v>0</v>
      </c>
      <c r="I88" s="96" t="str">
        <f t="shared" si="1"/>
        <v>arrButtonList(87)="securefx,securefx"</v>
      </c>
    </row>
    <row r="89" spans="1:9" x14ac:dyDescent="0.25">
      <c r="A89" t="s">
        <v>2</v>
      </c>
      <c r="B89">
        <v>88</v>
      </c>
      <c r="C89" t="s">
        <v>1</v>
      </c>
      <c r="D89" t="s">
        <v>0</v>
      </c>
      <c r="E89" s="1" t="s">
        <v>126</v>
      </c>
      <c r="F89" s="1" t="s">
        <v>128</v>
      </c>
      <c r="G89" s="1" t="s">
        <v>126</v>
      </c>
      <c r="H89" t="s">
        <v>0</v>
      </c>
      <c r="I89" s="96" t="str">
        <f t="shared" si="1"/>
        <v>arrButtonList(88)="snmpget,snmpget"</v>
      </c>
    </row>
    <row r="90" spans="1:9" x14ac:dyDescent="0.25">
      <c r="A90" t="s">
        <v>2</v>
      </c>
      <c r="B90">
        <v>89</v>
      </c>
      <c r="C90" t="s">
        <v>1</v>
      </c>
      <c r="D90" t="s">
        <v>0</v>
      </c>
      <c r="E90" s="1" t="s">
        <v>85</v>
      </c>
      <c r="F90" s="1" t="s">
        <v>128</v>
      </c>
      <c r="G90" s="1" t="s">
        <v>85</v>
      </c>
      <c r="H90" t="s">
        <v>0</v>
      </c>
      <c r="I90" s="96" t="str">
        <f t="shared" si="1"/>
        <v>arrButtonList(89)="solarwinds1,solarwinds1"</v>
      </c>
    </row>
    <row r="91" spans="1:9" x14ac:dyDescent="0.25">
      <c r="A91" t="s">
        <v>2</v>
      </c>
      <c r="B91">
        <v>90</v>
      </c>
      <c r="C91" t="s">
        <v>1</v>
      </c>
      <c r="D91" t="s">
        <v>0</v>
      </c>
      <c r="E91" s="1" t="s">
        <v>86</v>
      </c>
      <c r="F91" s="1" t="s">
        <v>128</v>
      </c>
      <c r="G91" s="1" t="s">
        <v>86</v>
      </c>
      <c r="H91" t="s">
        <v>0</v>
      </c>
      <c r="I91" s="96" t="str">
        <f t="shared" si="1"/>
        <v>arrButtonList(90)="solarwinds2,solarwinds2"</v>
      </c>
    </row>
    <row r="92" spans="1:9" x14ac:dyDescent="0.25">
      <c r="A92" t="s">
        <v>2</v>
      </c>
      <c r="B92">
        <v>91</v>
      </c>
      <c r="C92" t="s">
        <v>1</v>
      </c>
      <c r="D92" t="s">
        <v>0</v>
      </c>
      <c r="E92" s="1" t="s">
        <v>40</v>
      </c>
      <c r="F92" s="1" t="s">
        <v>128</v>
      </c>
      <c r="G92" s="1" t="s">
        <v>40</v>
      </c>
      <c r="H92" t="s">
        <v>0</v>
      </c>
      <c r="I92" s="96" t="str">
        <f t="shared" si="1"/>
        <v>arrButtonList(91)="sonar,sonar"</v>
      </c>
    </row>
    <row r="93" spans="1:9" x14ac:dyDescent="0.25">
      <c r="A93" t="s">
        <v>2</v>
      </c>
      <c r="B93">
        <v>92</v>
      </c>
      <c r="C93" t="s">
        <v>1</v>
      </c>
      <c r="D93" t="s">
        <v>0</v>
      </c>
      <c r="E93" s="1" t="s">
        <v>87</v>
      </c>
      <c r="F93" s="1" t="s">
        <v>128</v>
      </c>
      <c r="G93" s="1" t="s">
        <v>87</v>
      </c>
      <c r="H93" t="s">
        <v>0</v>
      </c>
      <c r="I93" s="96" t="str">
        <f t="shared" si="1"/>
        <v>arrButtonList(92)="splunk,splunk"</v>
      </c>
    </row>
    <row r="94" spans="1:9" x14ac:dyDescent="0.25">
      <c r="A94" t="s">
        <v>2</v>
      </c>
      <c r="B94">
        <v>93</v>
      </c>
      <c r="C94" t="s">
        <v>1</v>
      </c>
      <c r="D94" t="s">
        <v>0</v>
      </c>
      <c r="E94" s="1" t="s">
        <v>127</v>
      </c>
      <c r="F94" s="1" t="s">
        <v>128</v>
      </c>
      <c r="G94" s="1" t="s">
        <v>127</v>
      </c>
      <c r="H94" t="s">
        <v>0</v>
      </c>
      <c r="I94" s="96" t="str">
        <f t="shared" si="1"/>
        <v>arrButtonList(93)="spotify,spotify"</v>
      </c>
    </row>
    <row r="95" spans="1:9" x14ac:dyDescent="0.25">
      <c r="A95" t="s">
        <v>2</v>
      </c>
      <c r="B95">
        <v>94</v>
      </c>
      <c r="C95" t="s">
        <v>1</v>
      </c>
      <c r="D95" t="s">
        <v>0</v>
      </c>
      <c r="E95" s="1" t="s">
        <v>41</v>
      </c>
      <c r="F95" s="1" t="s">
        <v>128</v>
      </c>
      <c r="G95" s="1" t="s">
        <v>41</v>
      </c>
      <c r="H95" t="s">
        <v>0</v>
      </c>
      <c r="I95" s="96" t="str">
        <f t="shared" si="1"/>
        <v>arrButtonList(94)="switchdeploymentmanager,switchdeploymentmanager"</v>
      </c>
    </row>
    <row r="96" spans="1:9" x14ac:dyDescent="0.25">
      <c r="A96" t="s">
        <v>2</v>
      </c>
      <c r="B96">
        <v>95</v>
      </c>
      <c r="C96" t="s">
        <v>1</v>
      </c>
      <c r="D96" t="s">
        <v>0</v>
      </c>
      <c r="E96" s="1" t="s">
        <v>88</v>
      </c>
      <c r="F96" s="1" t="s">
        <v>128</v>
      </c>
      <c r="G96" s="1" t="s">
        <v>88</v>
      </c>
      <c r="H96" t="s">
        <v>0</v>
      </c>
      <c r="I96" s="96" t="str">
        <f t="shared" si="1"/>
        <v>arrButtonList(95)="terminal,terminal"</v>
      </c>
    </row>
    <row r="97" spans="1:9" x14ac:dyDescent="0.25">
      <c r="A97" t="s">
        <v>2</v>
      </c>
      <c r="B97">
        <v>96</v>
      </c>
      <c r="C97" t="s">
        <v>1</v>
      </c>
      <c r="D97" t="s">
        <v>0</v>
      </c>
      <c r="E97" s="1" t="s">
        <v>42</v>
      </c>
      <c r="F97" s="1" t="s">
        <v>128</v>
      </c>
      <c r="G97" s="1" t="s">
        <v>42</v>
      </c>
      <c r="H97" t="s">
        <v>0</v>
      </c>
      <c r="I97" s="96" t="str">
        <f t="shared" si="1"/>
        <v>arrButtonList(96)="tftpd,tftpd"</v>
      </c>
    </row>
    <row r="98" spans="1:9" x14ac:dyDescent="0.25">
      <c r="A98" t="s">
        <v>2</v>
      </c>
      <c r="B98">
        <v>97</v>
      </c>
      <c r="C98" t="s">
        <v>1</v>
      </c>
      <c r="D98" t="s">
        <v>0</v>
      </c>
      <c r="E98" s="1" t="s">
        <v>89</v>
      </c>
      <c r="F98" s="1" t="s">
        <v>128</v>
      </c>
      <c r="G98" s="1" t="s">
        <v>89</v>
      </c>
      <c r="H98" t="s">
        <v>0</v>
      </c>
      <c r="I98" s="96" t="str">
        <f t="shared" si="1"/>
        <v>arrButtonList(97)="timecard,timecard"</v>
      </c>
    </row>
    <row r="99" spans="1:9" x14ac:dyDescent="0.25">
      <c r="A99" t="s">
        <v>2</v>
      </c>
      <c r="B99">
        <v>98</v>
      </c>
      <c r="C99" t="s">
        <v>1</v>
      </c>
      <c r="D99" t="s">
        <v>0</v>
      </c>
      <c r="E99" s="1" t="s">
        <v>43</v>
      </c>
      <c r="F99" s="1" t="s">
        <v>128</v>
      </c>
      <c r="G99" s="1" t="s">
        <v>43</v>
      </c>
      <c r="H99" t="s">
        <v>0</v>
      </c>
      <c r="I99" s="96" t="str">
        <f t="shared" si="1"/>
        <v>arrButtonList(98)="timezones,timezones"</v>
      </c>
    </row>
    <row r="100" spans="1:9" x14ac:dyDescent="0.25">
      <c r="A100" t="s">
        <v>2</v>
      </c>
      <c r="B100">
        <v>99</v>
      </c>
      <c r="C100" t="s">
        <v>1</v>
      </c>
      <c r="D100" t="s">
        <v>0</v>
      </c>
      <c r="E100" s="1" t="s">
        <v>44</v>
      </c>
      <c r="F100" s="1" t="s">
        <v>128</v>
      </c>
      <c r="G100" s="1" t="s">
        <v>44</v>
      </c>
      <c r="H100" t="s">
        <v>0</v>
      </c>
      <c r="I100" s="96" t="str">
        <f t="shared" si="1"/>
        <v>arrButtonList(99)="toolbox,toolbox"</v>
      </c>
    </row>
    <row r="101" spans="1:9" x14ac:dyDescent="0.25">
      <c r="A101" t="s">
        <v>2</v>
      </c>
      <c r="B101">
        <v>100</v>
      </c>
      <c r="C101" t="s">
        <v>1</v>
      </c>
      <c r="D101" t="s">
        <v>0</v>
      </c>
      <c r="E101" s="1" t="s">
        <v>45</v>
      </c>
      <c r="F101" s="1" t="s">
        <v>128</v>
      </c>
      <c r="G101" s="1" t="s">
        <v>45</v>
      </c>
      <c r="H101" t="s">
        <v>0</v>
      </c>
      <c r="I101" s="96" t="str">
        <f t="shared" si="1"/>
        <v>arrButtonList(100)="tools,tools"</v>
      </c>
    </row>
    <row r="102" spans="1:9" x14ac:dyDescent="0.25">
      <c r="A102" t="s">
        <v>2</v>
      </c>
      <c r="B102">
        <v>101</v>
      </c>
      <c r="C102" t="s">
        <v>1</v>
      </c>
      <c r="D102" t="s">
        <v>0</v>
      </c>
      <c r="E102" s="1" t="s">
        <v>46</v>
      </c>
      <c r="F102" s="1" t="s">
        <v>128</v>
      </c>
      <c r="G102" s="1" t="s">
        <v>46</v>
      </c>
      <c r="H102" t="s">
        <v>0</v>
      </c>
      <c r="I102" s="96" t="str">
        <f t="shared" si="1"/>
        <v>arrButtonList(101)="topology,topology"</v>
      </c>
    </row>
    <row r="103" spans="1:9" x14ac:dyDescent="0.25">
      <c r="A103" t="s">
        <v>2</v>
      </c>
      <c r="B103">
        <v>102</v>
      </c>
      <c r="C103" t="s">
        <v>1</v>
      </c>
      <c r="D103" t="s">
        <v>0</v>
      </c>
      <c r="E103" s="1" t="s">
        <v>6</v>
      </c>
      <c r="F103" s="1" t="s">
        <v>128</v>
      </c>
      <c r="G103" s="1" t="s">
        <v>6</v>
      </c>
      <c r="H103" t="s">
        <v>0</v>
      </c>
      <c r="I103" s="96" t="str">
        <f t="shared" si="1"/>
        <v>arrButtonList(102)="training,training"</v>
      </c>
    </row>
    <row r="104" spans="1:9" x14ac:dyDescent="0.25">
      <c r="A104" t="s">
        <v>2</v>
      </c>
      <c r="B104">
        <v>103</v>
      </c>
      <c r="C104" t="s">
        <v>1</v>
      </c>
      <c r="D104" t="s">
        <v>0</v>
      </c>
      <c r="E104" s="1" t="s">
        <v>47</v>
      </c>
      <c r="F104" s="1" t="s">
        <v>128</v>
      </c>
      <c r="G104" s="1" t="s">
        <v>47</v>
      </c>
      <c r="H104" t="s">
        <v>0</v>
      </c>
      <c r="I104" s="96" t="str">
        <f t="shared" si="1"/>
        <v>arrButtonList(103)="unicorn,unicorn"</v>
      </c>
    </row>
    <row r="105" spans="1:9" x14ac:dyDescent="0.25">
      <c r="A105" t="s">
        <v>2</v>
      </c>
      <c r="B105">
        <v>104</v>
      </c>
      <c r="C105" t="s">
        <v>1</v>
      </c>
      <c r="D105" t="s">
        <v>0</v>
      </c>
      <c r="E105" s="1" t="s">
        <v>48</v>
      </c>
      <c r="F105" s="1" t="s">
        <v>128</v>
      </c>
      <c r="G105" s="1" t="s">
        <v>48</v>
      </c>
      <c r="I105" s="96" t="str">
        <f t="shared" si="1"/>
        <v>arrButtonList(104)="update,update</v>
      </c>
    </row>
    <row r="106" spans="1:9" x14ac:dyDescent="0.25">
      <c r="A106" t="s">
        <v>2</v>
      </c>
      <c r="B106">
        <v>105</v>
      </c>
      <c r="C106" t="s">
        <v>1</v>
      </c>
      <c r="D106" t="s">
        <v>0</v>
      </c>
      <c r="E106" s="1" t="s">
        <v>49</v>
      </c>
      <c r="F106" s="1" t="s">
        <v>128</v>
      </c>
      <c r="G106" s="1" t="s">
        <v>49</v>
      </c>
      <c r="I106" s="96" t="str">
        <f t="shared" si="1"/>
        <v>arrButtonList(105)="user,user</v>
      </c>
    </row>
    <row r="107" spans="1:9" x14ac:dyDescent="0.25">
      <c r="A107" t="s">
        <v>2</v>
      </c>
      <c r="B107">
        <v>106</v>
      </c>
      <c r="C107" t="s">
        <v>1</v>
      </c>
      <c r="D107" t="s">
        <v>0</v>
      </c>
      <c r="E107" s="1" t="s">
        <v>90</v>
      </c>
      <c r="F107" s="1" t="s">
        <v>128</v>
      </c>
      <c r="G107" s="1" t="s">
        <v>90</v>
      </c>
      <c r="I107" s="96" t="str">
        <f t="shared" si="1"/>
        <v>arrButtonList(106)="viasat1,viasat1</v>
      </c>
    </row>
    <row r="108" spans="1:9" x14ac:dyDescent="0.25">
      <c r="A108" t="s">
        <v>2</v>
      </c>
      <c r="B108">
        <v>107</v>
      </c>
      <c r="C108" t="s">
        <v>1</v>
      </c>
      <c r="D108" t="s">
        <v>0</v>
      </c>
      <c r="E108" s="1" t="s">
        <v>91</v>
      </c>
      <c r="F108" s="1" t="s">
        <v>128</v>
      </c>
      <c r="G108" s="1" t="s">
        <v>91</v>
      </c>
      <c r="I108" s="96" t="str">
        <f t="shared" si="1"/>
        <v>arrButtonList(107)="viasat2,viasat2</v>
      </c>
    </row>
    <row r="109" spans="1:9" x14ac:dyDescent="0.25">
      <c r="A109" t="s">
        <v>2</v>
      </c>
      <c r="B109">
        <v>108</v>
      </c>
      <c r="C109" t="s">
        <v>1</v>
      </c>
      <c r="D109" t="s">
        <v>0</v>
      </c>
      <c r="E109" s="1" t="s">
        <v>50</v>
      </c>
      <c r="F109" s="1" t="s">
        <v>128</v>
      </c>
      <c r="G109" s="1" t="s">
        <v>50</v>
      </c>
      <c r="I109" s="96" t="str">
        <f t="shared" si="1"/>
        <v>arrButtonList(108)="vlc,vlc</v>
      </c>
    </row>
    <row r="110" spans="1:9" x14ac:dyDescent="0.25">
      <c r="A110" t="s">
        <v>2</v>
      </c>
      <c r="B110">
        <v>109</v>
      </c>
      <c r="C110" t="s">
        <v>1</v>
      </c>
      <c r="D110" t="s">
        <v>0</v>
      </c>
      <c r="E110" s="1" t="s">
        <v>92</v>
      </c>
      <c r="F110" s="1" t="s">
        <v>128</v>
      </c>
      <c r="G110" s="1" t="s">
        <v>92</v>
      </c>
      <c r="I110" s="96" t="str">
        <f t="shared" si="1"/>
        <v>arrButtonList(109)="wifiblue,wifiblue</v>
      </c>
    </row>
    <row r="111" spans="1:9" x14ac:dyDescent="0.25">
      <c r="A111" t="s">
        <v>2</v>
      </c>
      <c r="B111">
        <v>110</v>
      </c>
      <c r="C111" t="s">
        <v>1</v>
      </c>
      <c r="D111" t="s">
        <v>0</v>
      </c>
      <c r="E111" s="1" t="s">
        <v>93</v>
      </c>
      <c r="F111" s="1" t="s">
        <v>128</v>
      </c>
      <c r="G111" s="1" t="s">
        <v>93</v>
      </c>
      <c r="I111" s="96" t="str">
        <f t="shared" si="1"/>
        <v>arrButtonList(110)="wifigreen,wifigreen</v>
      </c>
    </row>
    <row r="112" spans="1:9" x14ac:dyDescent="0.25">
      <c r="A112" t="s">
        <v>2</v>
      </c>
      <c r="B112">
        <v>111</v>
      </c>
      <c r="C112" t="s">
        <v>1</v>
      </c>
      <c r="D112" t="s">
        <v>0</v>
      </c>
      <c r="E112" s="1" t="s">
        <v>94</v>
      </c>
      <c r="F112" s="1" t="s">
        <v>128</v>
      </c>
      <c r="G112" s="1" t="s">
        <v>94</v>
      </c>
      <c r="I112" s="96" t="str">
        <f t="shared" si="1"/>
        <v>arrButtonList(111)="wifiorange,wifiorange</v>
      </c>
    </row>
    <row r="113" spans="1:9" x14ac:dyDescent="0.25">
      <c r="A113" t="s">
        <v>2</v>
      </c>
      <c r="B113">
        <v>112</v>
      </c>
      <c r="C113" t="s">
        <v>1</v>
      </c>
      <c r="D113" t="s">
        <v>0</v>
      </c>
      <c r="E113" s="1" t="s">
        <v>95</v>
      </c>
      <c r="F113" s="1" t="s">
        <v>128</v>
      </c>
      <c r="G113" s="1" t="s">
        <v>95</v>
      </c>
      <c r="I113" s="96" t="str">
        <f t="shared" si="1"/>
        <v>arrButtonList(112)="wifipink,wifipink</v>
      </c>
    </row>
    <row r="114" spans="1:9" x14ac:dyDescent="0.25">
      <c r="A114" t="s">
        <v>2</v>
      </c>
      <c r="B114">
        <v>113</v>
      </c>
      <c r="C114" t="s">
        <v>1</v>
      </c>
      <c r="D114" t="s">
        <v>0</v>
      </c>
      <c r="E114" s="1" t="s">
        <v>96</v>
      </c>
      <c r="F114" s="1" t="s">
        <v>128</v>
      </c>
      <c r="G114" s="1" t="s">
        <v>96</v>
      </c>
      <c r="I114" s="96" t="str">
        <f t="shared" si="1"/>
        <v>arrButtonList(113)="wifipurple,wifipurple</v>
      </c>
    </row>
    <row r="115" spans="1:9" x14ac:dyDescent="0.25">
      <c r="A115" t="s">
        <v>2</v>
      </c>
      <c r="B115">
        <v>114</v>
      </c>
      <c r="C115" t="s">
        <v>1</v>
      </c>
      <c r="D115" t="s">
        <v>0</v>
      </c>
      <c r="E115" s="1" t="s">
        <v>97</v>
      </c>
      <c r="F115" s="1" t="s">
        <v>128</v>
      </c>
      <c r="G115" s="1" t="s">
        <v>97</v>
      </c>
      <c r="I115" s="96" t="str">
        <f t="shared" si="1"/>
        <v>arrButtonList(114)="wifired,wifired</v>
      </c>
    </row>
    <row r="116" spans="1:9" x14ac:dyDescent="0.25">
      <c r="A116" t="s">
        <v>2</v>
      </c>
      <c r="B116">
        <v>115</v>
      </c>
      <c r="C116" t="s">
        <v>1</v>
      </c>
      <c r="D116" t="s">
        <v>0</v>
      </c>
      <c r="E116" s="1" t="s">
        <v>98</v>
      </c>
      <c r="F116" s="1" t="s">
        <v>128</v>
      </c>
      <c r="G116" s="1" t="s">
        <v>98</v>
      </c>
      <c r="I116" s="96" t="str">
        <f t="shared" si="1"/>
        <v>arrButtonList(115)="windowsblue,windowsblue</v>
      </c>
    </row>
    <row r="117" spans="1:9" x14ac:dyDescent="0.25">
      <c r="A117" t="s">
        <v>2</v>
      </c>
      <c r="B117">
        <v>116</v>
      </c>
      <c r="C117" t="s">
        <v>1</v>
      </c>
      <c r="D117" t="s">
        <v>0</v>
      </c>
      <c r="E117" s="1" t="s">
        <v>99</v>
      </c>
      <c r="F117" s="1" t="s">
        <v>128</v>
      </c>
      <c r="G117" s="1" t="s">
        <v>99</v>
      </c>
      <c r="I117" s="96" t="str">
        <f t="shared" si="1"/>
        <v>arrButtonList(116)="windowsgreen,windowsgreen</v>
      </c>
    </row>
    <row r="118" spans="1:9" x14ac:dyDescent="0.25">
      <c r="A118" t="s">
        <v>2</v>
      </c>
      <c r="B118">
        <v>117</v>
      </c>
      <c r="C118" t="s">
        <v>1</v>
      </c>
      <c r="D118" t="s">
        <v>0</v>
      </c>
      <c r="E118" s="1" t="s">
        <v>100</v>
      </c>
      <c r="F118" s="1" t="s">
        <v>128</v>
      </c>
      <c r="G118" s="1" t="s">
        <v>100</v>
      </c>
      <c r="I118" s="96" t="str">
        <f t="shared" si="1"/>
        <v>arrButtonList(117)="windowsorange,windowsorange</v>
      </c>
    </row>
    <row r="119" spans="1:9" x14ac:dyDescent="0.25">
      <c r="A119" t="s">
        <v>2</v>
      </c>
      <c r="B119">
        <v>118</v>
      </c>
      <c r="C119" t="s">
        <v>1</v>
      </c>
      <c r="D119" t="s">
        <v>0</v>
      </c>
      <c r="E119" s="1" t="s">
        <v>101</v>
      </c>
      <c r="F119" s="1" t="s">
        <v>128</v>
      </c>
      <c r="G119" s="1" t="s">
        <v>101</v>
      </c>
      <c r="I119" s="96" t="str">
        <f t="shared" si="1"/>
        <v>arrButtonList(118)="windowspink,windowspink</v>
      </c>
    </row>
    <row r="120" spans="1:9" x14ac:dyDescent="0.25">
      <c r="A120" t="s">
        <v>2</v>
      </c>
      <c r="B120">
        <v>119</v>
      </c>
      <c r="C120" t="s">
        <v>1</v>
      </c>
      <c r="D120" t="s">
        <v>0</v>
      </c>
      <c r="E120" s="1" t="s">
        <v>102</v>
      </c>
      <c r="F120" s="1" t="s">
        <v>128</v>
      </c>
      <c r="G120" s="1" t="s">
        <v>102</v>
      </c>
      <c r="I120" s="96" t="str">
        <f t="shared" si="1"/>
        <v>arrButtonList(119)="windowspurple,windowspurple</v>
      </c>
    </row>
    <row r="121" spans="1:9" x14ac:dyDescent="0.25">
      <c r="A121" t="s">
        <v>2</v>
      </c>
      <c r="B121">
        <v>120</v>
      </c>
      <c r="C121" t="s">
        <v>1</v>
      </c>
      <c r="D121" t="s">
        <v>0</v>
      </c>
      <c r="E121" s="1" t="s">
        <v>103</v>
      </c>
      <c r="F121" s="1" t="s">
        <v>128</v>
      </c>
      <c r="G121" s="1" t="s">
        <v>103</v>
      </c>
      <c r="I121" s="96" t="str">
        <f t="shared" si="1"/>
        <v>arrButtonList(120)="windowsred,windowsred</v>
      </c>
    </row>
    <row r="122" spans="1:9" x14ac:dyDescent="0.25">
      <c r="A122" t="s">
        <v>2</v>
      </c>
      <c r="B122">
        <v>121</v>
      </c>
      <c r="C122" t="s">
        <v>1</v>
      </c>
      <c r="D122" t="s">
        <v>0</v>
      </c>
      <c r="E122" s="1" t="s">
        <v>104</v>
      </c>
      <c r="F122" s="1" t="s">
        <v>128</v>
      </c>
      <c r="G122" s="1" t="s">
        <v>104</v>
      </c>
      <c r="I122" s="96" t="str">
        <f t="shared" si="1"/>
        <v>arrButtonList(121)="windowsyellow,windowsyellow</v>
      </c>
    </row>
    <row r="123" spans="1:9" x14ac:dyDescent="0.25">
      <c r="A123" t="s">
        <v>2</v>
      </c>
      <c r="B123">
        <v>122</v>
      </c>
      <c r="C123" t="s">
        <v>1</v>
      </c>
      <c r="D123" t="s">
        <v>0</v>
      </c>
      <c r="E123" s="1" t="s">
        <v>51</v>
      </c>
      <c r="F123" s="1" t="s">
        <v>128</v>
      </c>
      <c r="G123" s="1" t="s">
        <v>51</v>
      </c>
      <c r="I123" s="96" t="str">
        <f t="shared" si="1"/>
        <v>arrButtonList(122)="winscp,winscp</v>
      </c>
    </row>
    <row r="124" spans="1:9" x14ac:dyDescent="0.25">
      <c r="A124" t="s">
        <v>2</v>
      </c>
      <c r="B124">
        <v>123</v>
      </c>
      <c r="C124" t="s">
        <v>1</v>
      </c>
      <c r="D124" t="s">
        <v>0</v>
      </c>
      <c r="E124" s="1" t="s">
        <v>52</v>
      </c>
      <c r="F124" s="1" t="s">
        <v>128</v>
      </c>
      <c r="G124" s="1" t="s">
        <v>52</v>
      </c>
      <c r="I124" s="96" t="str">
        <f t="shared" si="1"/>
        <v>arrButtonList(123)="wireshark,wireshark</v>
      </c>
    </row>
    <row r="125" spans="1:9" x14ac:dyDescent="0.25">
      <c r="A125" t="s">
        <v>2</v>
      </c>
      <c r="B125">
        <v>124</v>
      </c>
      <c r="C125" t="s">
        <v>1</v>
      </c>
      <c r="D125" t="s">
        <v>0</v>
      </c>
      <c r="E125" s="1" t="s">
        <v>53</v>
      </c>
      <c r="F125" s="1" t="s">
        <v>128</v>
      </c>
      <c r="G125" s="1" t="s">
        <v>53</v>
      </c>
      <c r="I125" s="96" t="str">
        <f t="shared" si="1"/>
        <v>arrButtonList(124)="xmas,xmas</v>
      </c>
    </row>
  </sheetData>
  <sortState ref="E1:E125">
    <sortCondition ref="E1"/>
  </sortState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23"/>
  <sheetViews>
    <sheetView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54.7109375" customWidth="1"/>
    <col min="4" max="4" width="18.42578125" customWidth="1"/>
    <col min="5" max="6" width="5.140625" customWidth="1"/>
    <col min="7" max="7" width="4.7109375" customWidth="1"/>
    <col min="8" max="8" width="3.5703125" customWidth="1"/>
    <col min="9" max="9" width="4" customWidth="1"/>
    <col min="10" max="10" width="63.7109375" style="96" bestFit="1" customWidth="1"/>
  </cols>
  <sheetData>
    <row r="1" spans="1:10" x14ac:dyDescent="0.25">
      <c r="A1" t="s">
        <v>0</v>
      </c>
      <c r="B1" s="94" t="s">
        <v>1020</v>
      </c>
      <c r="C1" t="s">
        <v>0</v>
      </c>
      <c r="D1" t="s">
        <v>128</v>
      </c>
      <c r="E1" s="93"/>
      <c r="F1" s="1"/>
      <c r="G1" s="1"/>
      <c r="H1" s="1"/>
      <c r="I1" s="1"/>
      <c r="J1" s="96" t="str">
        <f t="shared" ref="J1:J64" si="0">A1&amp;B1&amp;C1&amp;D1&amp;E1&amp;F1&amp;G1&amp;H1&amp;I1</f>
        <v>"Button01Icon=onenote",</v>
      </c>
    </row>
    <row r="2" spans="1:10" x14ac:dyDescent="0.25">
      <c r="A2" t="s">
        <v>0</v>
      </c>
      <c r="B2" s="94" t="s">
        <v>1021</v>
      </c>
      <c r="C2" t="s">
        <v>0</v>
      </c>
      <c r="D2" t="s">
        <v>128</v>
      </c>
      <c r="E2" s="93"/>
      <c r="F2" s="1"/>
      <c r="G2" s="1"/>
      <c r="H2" s="1"/>
      <c r="I2" s="1"/>
      <c r="J2" s="96" t="str">
        <f t="shared" si="0"/>
        <v>"Button01StrExec=onenote.exe",</v>
      </c>
    </row>
    <row r="3" spans="1:10" x14ac:dyDescent="0.25">
      <c r="A3" t="s">
        <v>0</v>
      </c>
      <c r="B3" s="94" t="s">
        <v>1022</v>
      </c>
      <c r="C3" t="s">
        <v>0</v>
      </c>
      <c r="D3" t="s">
        <v>128</v>
      </c>
      <c r="E3" s="93"/>
      <c r="F3" s="1"/>
      <c r="G3" s="1"/>
      <c r="H3" s="1"/>
      <c r="I3" s="1"/>
      <c r="J3" s="96" t="str">
        <f t="shared" si="0"/>
        <v>"Button01ToolTip=Notebook",</v>
      </c>
    </row>
    <row r="4" spans="1:10" x14ac:dyDescent="0.25">
      <c r="A4" t="s">
        <v>0</v>
      </c>
      <c r="B4" s="94"/>
      <c r="C4" t="s">
        <v>0</v>
      </c>
      <c r="D4" t="s">
        <v>128</v>
      </c>
      <c r="E4" s="93"/>
      <c r="F4" s="1"/>
      <c r="G4" s="1"/>
      <c r="H4" s="1"/>
      <c r="I4" s="1"/>
      <c r="J4" s="96" t="str">
        <f t="shared" si="0"/>
        <v>"",</v>
      </c>
    </row>
    <row r="5" spans="1:10" x14ac:dyDescent="0.25">
      <c r="A5" t="s">
        <v>0</v>
      </c>
      <c r="B5" s="94"/>
      <c r="C5" t="s">
        <v>0</v>
      </c>
      <c r="D5" t="s">
        <v>128</v>
      </c>
      <c r="E5" s="93"/>
      <c r="F5" s="1"/>
      <c r="G5" s="1"/>
      <c r="H5" s="1"/>
      <c r="I5" s="1"/>
      <c r="J5" s="96" t="str">
        <f t="shared" si="0"/>
        <v>"",</v>
      </c>
    </row>
    <row r="6" spans="1:10" x14ac:dyDescent="0.25">
      <c r="A6" t="s">
        <v>0</v>
      </c>
      <c r="B6" s="94"/>
      <c r="C6" t="s">
        <v>0</v>
      </c>
      <c r="D6" t="s">
        <v>128</v>
      </c>
      <c r="E6" s="93"/>
      <c r="F6" s="1"/>
      <c r="G6" s="1"/>
      <c r="H6" s="1"/>
      <c r="I6" s="1"/>
      <c r="J6" s="96" t="str">
        <f t="shared" si="0"/>
        <v>"",</v>
      </c>
    </row>
    <row r="7" spans="1:10" x14ac:dyDescent="0.25">
      <c r="A7" t="s">
        <v>0</v>
      </c>
      <c r="B7" s="94"/>
      <c r="C7" t="s">
        <v>0</v>
      </c>
      <c r="D7" t="s">
        <v>128</v>
      </c>
      <c r="E7" s="93"/>
      <c r="F7" s="1"/>
      <c r="G7" s="1"/>
      <c r="H7" s="1"/>
      <c r="I7" s="1"/>
      <c r="J7" s="96" t="str">
        <f t="shared" si="0"/>
        <v>"",</v>
      </c>
    </row>
    <row r="8" spans="1:10" x14ac:dyDescent="0.25">
      <c r="A8" t="s">
        <v>0</v>
      </c>
      <c r="B8" s="94"/>
      <c r="C8" t="s">
        <v>0</v>
      </c>
      <c r="D8" t="s">
        <v>128</v>
      </c>
      <c r="E8" s="93"/>
      <c r="F8" s="1"/>
      <c r="G8" s="1"/>
      <c r="H8" s="1"/>
      <c r="I8" s="1"/>
      <c r="J8" s="96" t="str">
        <f t="shared" si="0"/>
        <v>"",</v>
      </c>
    </row>
    <row r="9" spans="1:10" x14ac:dyDescent="0.25">
      <c r="A9" t="s">
        <v>0</v>
      </c>
      <c r="B9" s="94"/>
      <c r="C9" t="s">
        <v>0</v>
      </c>
      <c r="D9" t="s">
        <v>128</v>
      </c>
      <c r="E9" s="93"/>
      <c r="F9" s="1"/>
      <c r="G9" s="1"/>
      <c r="H9" s="1"/>
      <c r="I9" s="1"/>
      <c r="J9" s="96" t="str">
        <f t="shared" si="0"/>
        <v>"",</v>
      </c>
    </row>
    <row r="10" spans="1:10" x14ac:dyDescent="0.25">
      <c r="A10" t="s">
        <v>0</v>
      </c>
      <c r="B10" s="94"/>
      <c r="C10" t="s">
        <v>0</v>
      </c>
      <c r="D10" t="s">
        <v>128</v>
      </c>
      <c r="E10" s="93"/>
      <c r="F10" s="1"/>
      <c r="G10" s="1"/>
      <c r="H10" s="1"/>
      <c r="I10" s="1"/>
      <c r="J10" s="96" t="str">
        <f t="shared" si="0"/>
        <v>"",</v>
      </c>
    </row>
    <row r="11" spans="1:10" x14ac:dyDescent="0.25">
      <c r="A11" t="s">
        <v>0</v>
      </c>
      <c r="B11" s="94"/>
      <c r="C11" t="s">
        <v>0</v>
      </c>
      <c r="D11" t="s">
        <v>128</v>
      </c>
      <c r="E11" s="93"/>
      <c r="F11" s="1"/>
      <c r="G11" s="1"/>
      <c r="H11" s="1"/>
      <c r="I11" s="1"/>
      <c r="J11" s="96" t="str">
        <f t="shared" si="0"/>
        <v>"",</v>
      </c>
    </row>
    <row r="12" spans="1:10" x14ac:dyDescent="0.25">
      <c r="A12" t="s">
        <v>0</v>
      </c>
      <c r="B12" s="94"/>
      <c r="C12" t="s">
        <v>0</v>
      </c>
      <c r="D12" t="s">
        <v>128</v>
      </c>
      <c r="E12" s="93"/>
      <c r="F12" s="1"/>
      <c r="G12" s="1"/>
      <c r="H12" s="1"/>
      <c r="I12" s="1"/>
      <c r="J12" s="96" t="str">
        <f t="shared" si="0"/>
        <v>"",</v>
      </c>
    </row>
    <row r="13" spans="1:10" x14ac:dyDescent="0.25">
      <c r="A13" t="s">
        <v>0</v>
      </c>
      <c r="B13" s="94"/>
      <c r="C13" t="s">
        <v>0</v>
      </c>
      <c r="D13" t="s">
        <v>128</v>
      </c>
      <c r="E13" s="93"/>
      <c r="F13" s="1"/>
      <c r="G13" s="1"/>
      <c r="H13" s="1"/>
      <c r="I13" s="1"/>
      <c r="J13" s="96" t="str">
        <f t="shared" si="0"/>
        <v>"",</v>
      </c>
    </row>
    <row r="14" spans="1:10" x14ac:dyDescent="0.25">
      <c r="A14" t="s">
        <v>0</v>
      </c>
      <c r="B14" s="94"/>
      <c r="C14" t="s">
        <v>0</v>
      </c>
      <c r="D14" t="s">
        <v>128</v>
      </c>
      <c r="E14" s="93"/>
      <c r="F14" s="1"/>
      <c r="G14" s="1"/>
      <c r="H14" s="1"/>
      <c r="I14" s="1"/>
      <c r="J14" s="96" t="str">
        <f t="shared" si="0"/>
        <v>"",</v>
      </c>
    </row>
    <row r="15" spans="1:10" x14ac:dyDescent="0.25">
      <c r="A15" t="s">
        <v>0</v>
      </c>
      <c r="B15" s="94"/>
      <c r="C15" t="s">
        <v>0</v>
      </c>
      <c r="D15" t="s">
        <v>128</v>
      </c>
      <c r="E15" s="93"/>
      <c r="F15" s="1"/>
      <c r="G15" s="1"/>
      <c r="H15" s="1"/>
      <c r="I15" s="1"/>
      <c r="J15" s="96" t="str">
        <f t="shared" si="0"/>
        <v>"",</v>
      </c>
    </row>
    <row r="16" spans="1:10" x14ac:dyDescent="0.25">
      <c r="A16" t="s">
        <v>0</v>
      </c>
      <c r="B16" s="94"/>
      <c r="C16" t="s">
        <v>0</v>
      </c>
      <c r="D16" t="s">
        <v>128</v>
      </c>
      <c r="E16" s="93"/>
      <c r="F16" s="1"/>
      <c r="G16" s="1"/>
      <c r="H16" s="1"/>
      <c r="I16" s="1"/>
      <c r="J16" s="96" t="str">
        <f t="shared" si="0"/>
        <v>"",</v>
      </c>
    </row>
    <row r="17" spans="1:10" x14ac:dyDescent="0.25">
      <c r="A17" t="s">
        <v>0</v>
      </c>
      <c r="B17" s="94"/>
      <c r="C17" t="s">
        <v>0</v>
      </c>
      <c r="D17" t="s">
        <v>128</v>
      </c>
      <c r="E17" s="93"/>
      <c r="F17" s="1"/>
      <c r="G17" s="1"/>
      <c r="H17" s="1"/>
      <c r="I17" s="1"/>
      <c r="J17" s="96" t="str">
        <f t="shared" si="0"/>
        <v>"",</v>
      </c>
    </row>
    <row r="18" spans="1:10" x14ac:dyDescent="0.25">
      <c r="A18" t="s">
        <v>0</v>
      </c>
      <c r="B18" s="94"/>
      <c r="C18" t="s">
        <v>0</v>
      </c>
      <c r="D18" t="s">
        <v>128</v>
      </c>
      <c r="E18" s="93"/>
      <c r="F18" s="1"/>
      <c r="G18" s="1"/>
      <c r="H18" s="1"/>
      <c r="I18" s="1"/>
      <c r="J18" s="96" t="str">
        <f t="shared" si="0"/>
        <v>"",</v>
      </c>
    </row>
    <row r="19" spans="1:10" x14ac:dyDescent="0.25">
      <c r="A19" t="s">
        <v>0</v>
      </c>
      <c r="B19" s="94"/>
      <c r="C19" t="s">
        <v>0</v>
      </c>
      <c r="D19" t="s">
        <v>128</v>
      </c>
      <c r="E19" s="93"/>
      <c r="F19" s="1"/>
      <c r="G19" s="1"/>
      <c r="H19" s="1"/>
      <c r="I19" s="1"/>
      <c r="J19" s="96" t="str">
        <f t="shared" si="0"/>
        <v>"",</v>
      </c>
    </row>
    <row r="20" spans="1:10" x14ac:dyDescent="0.25">
      <c r="A20" t="s">
        <v>0</v>
      </c>
      <c r="B20" s="94"/>
      <c r="C20" t="s">
        <v>0</v>
      </c>
      <c r="D20" t="s">
        <v>128</v>
      </c>
      <c r="E20" s="93"/>
      <c r="F20" s="1"/>
      <c r="G20" s="1"/>
      <c r="H20" s="1"/>
      <c r="I20" s="1"/>
      <c r="J20" s="96" t="str">
        <f t="shared" si="0"/>
        <v>"",</v>
      </c>
    </row>
    <row r="21" spans="1:10" x14ac:dyDescent="0.25">
      <c r="A21" t="s">
        <v>0</v>
      </c>
      <c r="B21" s="94"/>
      <c r="C21" t="s">
        <v>0</v>
      </c>
      <c r="D21" t="s">
        <v>128</v>
      </c>
      <c r="E21" s="93"/>
      <c r="F21" s="1"/>
      <c r="G21" s="1"/>
      <c r="H21" s="1"/>
      <c r="I21" s="1"/>
      <c r="J21" s="96" t="str">
        <f t="shared" si="0"/>
        <v>"",</v>
      </c>
    </row>
    <row r="22" spans="1:10" x14ac:dyDescent="0.25">
      <c r="A22" t="s">
        <v>0</v>
      </c>
      <c r="B22" s="94"/>
      <c r="C22" t="s">
        <v>0</v>
      </c>
      <c r="D22" t="s">
        <v>128</v>
      </c>
      <c r="E22" s="93"/>
      <c r="F22" s="1"/>
      <c r="G22" s="1"/>
      <c r="H22" s="1"/>
      <c r="I22" s="1"/>
      <c r="J22" s="96" t="str">
        <f t="shared" si="0"/>
        <v>"",</v>
      </c>
    </row>
    <row r="23" spans="1:10" x14ac:dyDescent="0.25">
      <c r="A23" t="s">
        <v>0</v>
      </c>
      <c r="B23" s="94"/>
      <c r="C23" t="s">
        <v>0</v>
      </c>
      <c r="D23" t="s">
        <v>128</v>
      </c>
      <c r="E23" s="93"/>
      <c r="F23" s="1"/>
      <c r="G23" s="1"/>
      <c r="H23" s="1"/>
      <c r="I23" s="1"/>
      <c r="J23" s="96" t="str">
        <f t="shared" si="0"/>
        <v>"",</v>
      </c>
    </row>
    <row r="24" spans="1:10" x14ac:dyDescent="0.25">
      <c r="A24" t="s">
        <v>0</v>
      </c>
      <c r="B24" s="94"/>
      <c r="C24" t="s">
        <v>0</v>
      </c>
      <c r="D24" t="s">
        <v>128</v>
      </c>
      <c r="E24" s="93"/>
      <c r="F24" s="1"/>
      <c r="G24" s="1"/>
      <c r="H24" s="1"/>
      <c r="I24" s="1"/>
      <c r="J24" s="96" t="str">
        <f t="shared" si="0"/>
        <v>"",</v>
      </c>
    </row>
    <row r="25" spans="1:10" x14ac:dyDescent="0.25">
      <c r="A25" t="s">
        <v>0</v>
      </c>
      <c r="B25" s="94"/>
      <c r="C25" t="s">
        <v>0</v>
      </c>
      <c r="D25" t="s">
        <v>128</v>
      </c>
      <c r="E25" s="93"/>
      <c r="F25" s="1"/>
      <c r="G25" s="1"/>
      <c r="H25" s="1"/>
      <c r="I25" s="1"/>
      <c r="J25" s="96" t="str">
        <f t="shared" si="0"/>
        <v>"",</v>
      </c>
    </row>
    <row r="26" spans="1:10" x14ac:dyDescent="0.25">
      <c r="A26" t="s">
        <v>0</v>
      </c>
      <c r="B26" s="94"/>
      <c r="C26" t="s">
        <v>0</v>
      </c>
      <c r="D26" t="s">
        <v>128</v>
      </c>
      <c r="E26" s="93"/>
      <c r="F26" s="1"/>
      <c r="G26" s="1"/>
      <c r="H26" s="1"/>
      <c r="I26" s="1"/>
      <c r="J26" s="96" t="str">
        <f t="shared" si="0"/>
        <v>"",</v>
      </c>
    </row>
    <row r="27" spans="1:10" x14ac:dyDescent="0.25">
      <c r="A27" t="s">
        <v>0</v>
      </c>
      <c r="B27" s="94"/>
      <c r="C27" t="s">
        <v>0</v>
      </c>
      <c r="D27" t="s">
        <v>128</v>
      </c>
      <c r="E27" s="93"/>
      <c r="F27" s="1"/>
      <c r="G27" s="1"/>
      <c r="H27" s="1"/>
      <c r="I27" s="1"/>
      <c r="J27" s="96" t="str">
        <f t="shared" si="0"/>
        <v>"",</v>
      </c>
    </row>
    <row r="28" spans="1:10" x14ac:dyDescent="0.25">
      <c r="A28" t="s">
        <v>0</v>
      </c>
      <c r="B28" s="94"/>
      <c r="C28" t="s">
        <v>0</v>
      </c>
      <c r="D28" t="s">
        <v>128</v>
      </c>
      <c r="E28" s="93"/>
      <c r="F28" s="1"/>
      <c r="G28" s="1"/>
      <c r="H28" s="1"/>
      <c r="I28" s="1"/>
      <c r="J28" s="96" t="str">
        <f t="shared" si="0"/>
        <v>"",</v>
      </c>
    </row>
    <row r="29" spans="1:10" x14ac:dyDescent="0.25">
      <c r="A29" t="s">
        <v>0</v>
      </c>
      <c r="B29" s="94"/>
      <c r="C29" t="s">
        <v>0</v>
      </c>
      <c r="D29" t="s">
        <v>128</v>
      </c>
      <c r="E29" s="93"/>
      <c r="F29" s="1"/>
      <c r="G29" s="1"/>
      <c r="H29" s="1"/>
      <c r="I29" s="1"/>
      <c r="J29" s="96" t="str">
        <f t="shared" si="0"/>
        <v>"",</v>
      </c>
    </row>
    <row r="30" spans="1:10" x14ac:dyDescent="0.25">
      <c r="A30" t="s">
        <v>0</v>
      </c>
      <c r="B30" s="94"/>
      <c r="C30" t="s">
        <v>0</v>
      </c>
      <c r="D30" t="s">
        <v>128</v>
      </c>
      <c r="E30" s="93"/>
      <c r="F30" s="1"/>
      <c r="G30" s="1"/>
      <c r="H30" s="1"/>
      <c r="I30" s="1"/>
      <c r="J30" s="96" t="str">
        <f t="shared" si="0"/>
        <v>"",</v>
      </c>
    </row>
    <row r="31" spans="1:10" x14ac:dyDescent="0.25">
      <c r="A31" t="s">
        <v>0</v>
      </c>
      <c r="B31" s="94"/>
      <c r="C31" t="s">
        <v>0</v>
      </c>
      <c r="D31" t="s">
        <v>128</v>
      </c>
      <c r="E31" s="93"/>
      <c r="F31" s="1"/>
      <c r="G31" s="1"/>
      <c r="H31" s="1"/>
      <c r="I31" s="1"/>
      <c r="J31" s="96" t="str">
        <f t="shared" si="0"/>
        <v>"",</v>
      </c>
    </row>
    <row r="32" spans="1:10" x14ac:dyDescent="0.25">
      <c r="A32" t="s">
        <v>0</v>
      </c>
      <c r="B32" s="94"/>
      <c r="C32" t="s">
        <v>0</v>
      </c>
      <c r="D32" t="s">
        <v>128</v>
      </c>
      <c r="E32" s="93"/>
      <c r="F32" s="1"/>
      <c r="G32" s="1"/>
      <c r="H32" s="1"/>
      <c r="I32" s="1"/>
      <c r="J32" s="96" t="str">
        <f t="shared" si="0"/>
        <v>"",</v>
      </c>
    </row>
    <row r="33" spans="1:10" x14ac:dyDescent="0.25">
      <c r="A33" t="s">
        <v>0</v>
      </c>
      <c r="B33" s="94"/>
      <c r="C33" t="s">
        <v>0</v>
      </c>
      <c r="D33" t="s">
        <v>128</v>
      </c>
      <c r="E33" s="93"/>
      <c r="F33" s="1"/>
      <c r="G33" s="1"/>
      <c r="H33" s="1"/>
      <c r="I33" s="1"/>
      <c r="J33" s="96" t="str">
        <f t="shared" si="0"/>
        <v>"",</v>
      </c>
    </row>
    <row r="34" spans="1:10" x14ac:dyDescent="0.25">
      <c r="A34" t="s">
        <v>0</v>
      </c>
      <c r="B34" s="94"/>
      <c r="C34" t="s">
        <v>0</v>
      </c>
      <c r="D34" t="s">
        <v>128</v>
      </c>
      <c r="E34" s="93"/>
      <c r="F34" s="1"/>
      <c r="G34" s="1"/>
      <c r="H34" s="1"/>
      <c r="I34" s="1"/>
      <c r="J34" s="96" t="str">
        <f t="shared" si="0"/>
        <v>"",</v>
      </c>
    </row>
    <row r="35" spans="1:10" x14ac:dyDescent="0.25">
      <c r="A35" t="s">
        <v>0</v>
      </c>
      <c r="B35" s="94"/>
      <c r="C35" t="s">
        <v>0</v>
      </c>
      <c r="D35" t="s">
        <v>128</v>
      </c>
      <c r="E35" s="93"/>
      <c r="F35" s="1"/>
      <c r="G35" s="1"/>
      <c r="H35" s="1"/>
      <c r="I35" s="1"/>
      <c r="J35" s="96" t="str">
        <f t="shared" si="0"/>
        <v>"",</v>
      </c>
    </row>
    <row r="36" spans="1:10" x14ac:dyDescent="0.25">
      <c r="A36" t="s">
        <v>0</v>
      </c>
      <c r="B36" s="94"/>
      <c r="C36" t="s">
        <v>0</v>
      </c>
      <c r="D36" t="s">
        <v>128</v>
      </c>
      <c r="E36" s="93"/>
      <c r="F36" s="1"/>
      <c r="G36" s="1"/>
      <c r="H36" s="1"/>
      <c r="I36" s="1"/>
      <c r="J36" s="96" t="str">
        <f t="shared" si="0"/>
        <v>"",</v>
      </c>
    </row>
    <row r="37" spans="1:10" x14ac:dyDescent="0.25">
      <c r="A37" t="s">
        <v>0</v>
      </c>
      <c r="B37" s="94"/>
      <c r="C37" t="s">
        <v>0</v>
      </c>
      <c r="D37" t="s">
        <v>128</v>
      </c>
      <c r="E37" s="93"/>
      <c r="F37" s="1"/>
      <c r="G37" s="1"/>
      <c r="H37" s="1"/>
      <c r="I37" s="1"/>
      <c r="J37" s="96" t="str">
        <f t="shared" si="0"/>
        <v>"",</v>
      </c>
    </row>
    <row r="38" spans="1:10" x14ac:dyDescent="0.25">
      <c r="A38" t="s">
        <v>0</v>
      </c>
      <c r="B38" s="94"/>
      <c r="C38" t="s">
        <v>0</v>
      </c>
      <c r="D38" t="s">
        <v>128</v>
      </c>
      <c r="E38" s="93"/>
      <c r="F38" s="1"/>
      <c r="G38" s="1"/>
      <c r="H38" s="1"/>
      <c r="I38" s="1"/>
      <c r="J38" s="96" t="str">
        <f t="shared" si="0"/>
        <v>"",</v>
      </c>
    </row>
    <row r="39" spans="1:10" x14ac:dyDescent="0.25">
      <c r="A39" t="s">
        <v>0</v>
      </c>
      <c r="B39" s="94"/>
      <c r="C39" t="s">
        <v>0</v>
      </c>
      <c r="D39" t="s">
        <v>128</v>
      </c>
      <c r="E39" s="93"/>
      <c r="F39" s="1"/>
      <c r="G39" s="1"/>
      <c r="H39" s="1"/>
      <c r="I39" s="1"/>
      <c r="J39" s="96" t="str">
        <f t="shared" si="0"/>
        <v>"",</v>
      </c>
    </row>
    <row r="40" spans="1:10" x14ac:dyDescent="0.25">
      <c r="A40" t="s">
        <v>0</v>
      </c>
      <c r="B40" s="94"/>
      <c r="C40" t="s">
        <v>0</v>
      </c>
      <c r="D40" t="s">
        <v>128</v>
      </c>
      <c r="E40" s="93"/>
      <c r="F40" s="1"/>
      <c r="G40" s="1"/>
      <c r="H40" s="1"/>
      <c r="I40" s="1"/>
      <c r="J40" s="96" t="str">
        <f t="shared" si="0"/>
        <v>"",</v>
      </c>
    </row>
    <row r="41" spans="1:10" x14ac:dyDescent="0.25">
      <c r="A41" t="s">
        <v>0</v>
      </c>
      <c r="B41" s="94"/>
      <c r="C41" t="s">
        <v>0</v>
      </c>
      <c r="D41" t="s">
        <v>128</v>
      </c>
      <c r="E41" s="93"/>
      <c r="F41" s="1"/>
      <c r="G41" s="1"/>
      <c r="H41" s="1"/>
      <c r="I41" s="1"/>
      <c r="J41" s="96" t="str">
        <f t="shared" si="0"/>
        <v>"",</v>
      </c>
    </row>
    <row r="42" spans="1:10" x14ac:dyDescent="0.25">
      <c r="A42" t="s">
        <v>0</v>
      </c>
      <c r="B42" s="94"/>
      <c r="C42" t="s">
        <v>0</v>
      </c>
      <c r="D42" t="s">
        <v>128</v>
      </c>
      <c r="E42" s="93"/>
      <c r="F42" s="1"/>
      <c r="G42" s="1"/>
      <c r="H42" s="1"/>
      <c r="I42" s="1"/>
      <c r="J42" s="96" t="str">
        <f t="shared" si="0"/>
        <v>"",</v>
      </c>
    </row>
    <row r="43" spans="1:10" x14ac:dyDescent="0.25">
      <c r="A43" t="s">
        <v>0</v>
      </c>
      <c r="B43" s="94"/>
      <c r="C43" t="s">
        <v>0</v>
      </c>
      <c r="D43" t="s">
        <v>128</v>
      </c>
      <c r="E43" s="93"/>
      <c r="F43" s="1"/>
      <c r="G43" s="1"/>
      <c r="H43" s="1"/>
      <c r="I43" s="1"/>
      <c r="J43" s="96" t="str">
        <f t="shared" si="0"/>
        <v>"",</v>
      </c>
    </row>
    <row r="44" spans="1:10" x14ac:dyDescent="0.25">
      <c r="A44" t="s">
        <v>0</v>
      </c>
      <c r="B44" s="94"/>
      <c r="C44" t="s">
        <v>0</v>
      </c>
      <c r="D44" t="s">
        <v>128</v>
      </c>
      <c r="E44" s="93"/>
      <c r="F44" s="1"/>
      <c r="G44" s="1"/>
      <c r="H44" s="1"/>
      <c r="I44" s="1"/>
      <c r="J44" s="96" t="str">
        <f t="shared" si="0"/>
        <v>"",</v>
      </c>
    </row>
    <row r="45" spans="1:10" x14ac:dyDescent="0.25">
      <c r="A45" t="s">
        <v>0</v>
      </c>
      <c r="B45" s="94"/>
      <c r="C45" t="s">
        <v>0</v>
      </c>
      <c r="D45" t="s">
        <v>128</v>
      </c>
      <c r="E45" s="93"/>
      <c r="F45" s="1"/>
      <c r="G45" s="1"/>
      <c r="H45" s="1"/>
      <c r="I45" s="1"/>
      <c r="J45" s="96" t="str">
        <f t="shared" si="0"/>
        <v>"",</v>
      </c>
    </row>
    <row r="46" spans="1:10" x14ac:dyDescent="0.25">
      <c r="A46" t="s">
        <v>0</v>
      </c>
      <c r="B46" s="94"/>
      <c r="C46" t="s">
        <v>0</v>
      </c>
      <c r="D46" t="s">
        <v>128</v>
      </c>
      <c r="E46" s="93"/>
      <c r="F46" s="1"/>
      <c r="G46" s="1"/>
      <c r="H46" s="1"/>
      <c r="I46" s="1"/>
      <c r="J46" s="96" t="str">
        <f t="shared" si="0"/>
        <v>"",</v>
      </c>
    </row>
    <row r="47" spans="1:10" x14ac:dyDescent="0.25">
      <c r="A47" t="s">
        <v>0</v>
      </c>
      <c r="B47" s="94"/>
      <c r="C47" t="s">
        <v>0</v>
      </c>
      <c r="D47" t="s">
        <v>128</v>
      </c>
      <c r="E47" s="93"/>
      <c r="F47" s="1"/>
      <c r="G47" s="1"/>
      <c r="H47" s="1"/>
      <c r="I47" s="1"/>
      <c r="J47" s="96" t="str">
        <f t="shared" si="0"/>
        <v>"",</v>
      </c>
    </row>
    <row r="48" spans="1:10" x14ac:dyDescent="0.25">
      <c r="A48" t="s">
        <v>0</v>
      </c>
      <c r="B48" s="94"/>
      <c r="C48" t="s">
        <v>0</v>
      </c>
      <c r="D48" t="s">
        <v>128</v>
      </c>
      <c r="E48" s="93"/>
      <c r="F48" s="1"/>
      <c r="G48" s="1"/>
      <c r="H48" s="1"/>
      <c r="I48" s="1"/>
      <c r="J48" s="96" t="str">
        <f t="shared" si="0"/>
        <v>"",</v>
      </c>
    </row>
    <row r="49" spans="1:10" x14ac:dyDescent="0.25">
      <c r="A49" t="s">
        <v>0</v>
      </c>
      <c r="B49" s="94"/>
      <c r="C49" t="s">
        <v>0</v>
      </c>
      <c r="D49" t="s">
        <v>128</v>
      </c>
      <c r="E49" s="93"/>
      <c r="F49" s="1"/>
      <c r="G49" s="1"/>
      <c r="H49" s="1"/>
      <c r="I49" s="1"/>
      <c r="J49" s="96" t="str">
        <f t="shared" si="0"/>
        <v>"",</v>
      </c>
    </row>
    <row r="50" spans="1:10" x14ac:dyDescent="0.25">
      <c r="A50" t="s">
        <v>0</v>
      </c>
      <c r="B50" s="94"/>
      <c r="C50" t="s">
        <v>0</v>
      </c>
      <c r="D50" t="s">
        <v>128</v>
      </c>
      <c r="E50" s="93"/>
      <c r="F50" s="1"/>
      <c r="G50" s="1"/>
      <c r="H50" s="1"/>
      <c r="I50" s="1"/>
      <c r="J50" s="96" t="str">
        <f t="shared" si="0"/>
        <v>"",</v>
      </c>
    </row>
    <row r="51" spans="1:10" x14ac:dyDescent="0.25">
      <c r="A51" t="s">
        <v>0</v>
      </c>
      <c r="B51" s="94"/>
      <c r="C51" t="s">
        <v>0</v>
      </c>
      <c r="D51" t="s">
        <v>128</v>
      </c>
      <c r="E51" s="93"/>
      <c r="F51" s="1"/>
      <c r="G51" s="1"/>
      <c r="H51" s="1"/>
      <c r="I51" s="1"/>
      <c r="J51" s="96" t="str">
        <f t="shared" si="0"/>
        <v>"",</v>
      </c>
    </row>
    <row r="52" spans="1:10" x14ac:dyDescent="0.25">
      <c r="A52" t="s">
        <v>0</v>
      </c>
      <c r="B52" s="94"/>
      <c r="C52" t="s">
        <v>0</v>
      </c>
      <c r="D52" t="s">
        <v>128</v>
      </c>
      <c r="E52" s="93"/>
      <c r="F52" s="1"/>
      <c r="G52" s="1"/>
      <c r="H52" s="1"/>
      <c r="I52" s="1"/>
      <c r="J52" s="96" t="str">
        <f t="shared" si="0"/>
        <v>"",</v>
      </c>
    </row>
    <row r="53" spans="1:10" x14ac:dyDescent="0.25">
      <c r="A53" t="s">
        <v>0</v>
      </c>
      <c r="B53" s="94"/>
      <c r="C53" t="s">
        <v>0</v>
      </c>
      <c r="D53" t="s">
        <v>128</v>
      </c>
      <c r="E53" s="93"/>
      <c r="F53" s="1"/>
      <c r="G53" s="1"/>
      <c r="H53" s="1"/>
      <c r="I53" s="1"/>
      <c r="J53" s="96" t="str">
        <f t="shared" si="0"/>
        <v>"",</v>
      </c>
    </row>
    <row r="54" spans="1:10" x14ac:dyDescent="0.25">
      <c r="A54" t="s">
        <v>0</v>
      </c>
      <c r="B54" s="94"/>
      <c r="C54" t="s">
        <v>0</v>
      </c>
      <c r="D54" t="s">
        <v>128</v>
      </c>
      <c r="E54" s="93"/>
      <c r="F54" s="1"/>
      <c r="G54" s="1"/>
      <c r="H54" s="1"/>
      <c r="I54" s="1"/>
      <c r="J54" s="96" t="str">
        <f t="shared" si="0"/>
        <v>"",</v>
      </c>
    </row>
    <row r="55" spans="1:10" x14ac:dyDescent="0.25">
      <c r="A55" t="s">
        <v>0</v>
      </c>
      <c r="B55" s="94"/>
      <c r="C55" t="s">
        <v>0</v>
      </c>
      <c r="D55" t="s">
        <v>128</v>
      </c>
      <c r="E55" s="93"/>
      <c r="F55" s="1"/>
      <c r="G55" s="1"/>
      <c r="H55" s="1"/>
      <c r="I55" s="1"/>
      <c r="J55" s="96" t="str">
        <f t="shared" si="0"/>
        <v>"",</v>
      </c>
    </row>
    <row r="56" spans="1:10" x14ac:dyDescent="0.25">
      <c r="A56" t="s">
        <v>0</v>
      </c>
      <c r="B56" s="94"/>
      <c r="C56" t="s">
        <v>0</v>
      </c>
      <c r="D56" t="s">
        <v>128</v>
      </c>
      <c r="E56" s="93"/>
      <c r="F56" s="1"/>
      <c r="G56" s="1"/>
      <c r="H56" s="1"/>
      <c r="I56" s="1"/>
      <c r="J56" s="96" t="str">
        <f t="shared" si="0"/>
        <v>"",</v>
      </c>
    </row>
    <row r="57" spans="1:10" x14ac:dyDescent="0.25">
      <c r="A57" t="s">
        <v>0</v>
      </c>
      <c r="B57" s="94"/>
      <c r="C57" t="s">
        <v>0</v>
      </c>
      <c r="D57" t="s">
        <v>128</v>
      </c>
      <c r="E57" s="93"/>
      <c r="F57" s="1"/>
      <c r="G57" s="1"/>
      <c r="H57" s="1"/>
      <c r="I57" s="1"/>
      <c r="J57" s="96" t="str">
        <f t="shared" si="0"/>
        <v>"",</v>
      </c>
    </row>
    <row r="58" spans="1:10" x14ac:dyDescent="0.25">
      <c r="A58" t="s">
        <v>0</v>
      </c>
      <c r="B58" s="94"/>
      <c r="C58" t="s">
        <v>0</v>
      </c>
      <c r="D58" t="s">
        <v>128</v>
      </c>
      <c r="E58" s="93"/>
      <c r="F58" s="1"/>
      <c r="G58" s="1"/>
      <c r="H58" s="1"/>
      <c r="I58" s="1"/>
      <c r="J58" s="96" t="str">
        <f t="shared" si="0"/>
        <v>"",</v>
      </c>
    </row>
    <row r="59" spans="1:10" x14ac:dyDescent="0.25">
      <c r="A59" t="s">
        <v>0</v>
      </c>
      <c r="B59" s="94"/>
      <c r="C59" t="s">
        <v>0</v>
      </c>
      <c r="D59" t="s">
        <v>128</v>
      </c>
      <c r="E59" s="93"/>
      <c r="F59" s="1"/>
      <c r="G59" s="1"/>
      <c r="H59" s="1"/>
      <c r="I59" s="1"/>
      <c r="J59" s="96" t="str">
        <f t="shared" si="0"/>
        <v>"",</v>
      </c>
    </row>
    <row r="60" spans="1:10" x14ac:dyDescent="0.25">
      <c r="A60" t="s">
        <v>0</v>
      </c>
      <c r="B60" s="94"/>
      <c r="C60" t="s">
        <v>0</v>
      </c>
      <c r="D60" t="s">
        <v>128</v>
      </c>
      <c r="E60" s="93"/>
      <c r="F60" s="1"/>
      <c r="G60" s="1"/>
      <c r="H60" s="1"/>
      <c r="I60" s="1"/>
      <c r="J60" s="96" t="str">
        <f t="shared" si="0"/>
        <v>"",</v>
      </c>
    </row>
    <row r="61" spans="1:10" x14ac:dyDescent="0.25">
      <c r="A61" t="s">
        <v>0</v>
      </c>
      <c r="B61" s="94"/>
      <c r="C61" t="s">
        <v>0</v>
      </c>
      <c r="D61" t="s">
        <v>128</v>
      </c>
      <c r="E61" s="93"/>
      <c r="F61" s="1"/>
      <c r="G61" s="1"/>
      <c r="H61" s="1"/>
      <c r="I61" s="1"/>
      <c r="J61" s="96" t="str">
        <f t="shared" si="0"/>
        <v>"",</v>
      </c>
    </row>
    <row r="62" spans="1:10" x14ac:dyDescent="0.25">
      <c r="A62" t="s">
        <v>0</v>
      </c>
      <c r="B62" s="94"/>
      <c r="C62" t="s">
        <v>0</v>
      </c>
      <c r="D62" t="s">
        <v>128</v>
      </c>
      <c r="E62" s="93"/>
      <c r="F62" s="1"/>
      <c r="G62" s="1"/>
      <c r="H62" s="1"/>
      <c r="I62" s="1"/>
      <c r="J62" s="96" t="str">
        <f t="shared" si="0"/>
        <v>"",</v>
      </c>
    </row>
    <row r="63" spans="1:10" x14ac:dyDescent="0.25">
      <c r="A63" t="s">
        <v>0</v>
      </c>
      <c r="B63" s="94"/>
      <c r="C63" t="s">
        <v>0</v>
      </c>
      <c r="D63" t="s">
        <v>128</v>
      </c>
      <c r="E63" s="93"/>
      <c r="F63" s="1"/>
      <c r="G63" s="1"/>
      <c r="H63" s="1"/>
      <c r="I63" s="1"/>
      <c r="J63" s="96" t="str">
        <f t="shared" si="0"/>
        <v>"",</v>
      </c>
    </row>
    <row r="64" spans="1:10" x14ac:dyDescent="0.25">
      <c r="A64" t="s">
        <v>0</v>
      </c>
      <c r="B64" s="94"/>
      <c r="C64" t="s">
        <v>0</v>
      </c>
      <c r="D64" t="s">
        <v>128</v>
      </c>
      <c r="E64" s="93"/>
      <c r="F64" s="1"/>
      <c r="G64" s="1"/>
      <c r="H64" s="1"/>
      <c r="I64" s="1"/>
      <c r="J64" s="96" t="str">
        <f t="shared" si="0"/>
        <v>"",</v>
      </c>
    </row>
    <row r="65" spans="1:10" x14ac:dyDescent="0.25">
      <c r="A65" t="s">
        <v>0</v>
      </c>
      <c r="B65" s="94"/>
      <c r="C65" t="s">
        <v>0</v>
      </c>
      <c r="D65" t="s">
        <v>128</v>
      </c>
      <c r="E65" s="93"/>
      <c r="F65" s="1"/>
      <c r="G65" s="1"/>
      <c r="H65" s="1"/>
      <c r="I65" s="1"/>
      <c r="J65" s="96" t="str">
        <f t="shared" ref="J65:J128" si="1">A65&amp;B65&amp;C65&amp;D65&amp;E65&amp;F65&amp;G65&amp;H65&amp;I65</f>
        <v>"",</v>
      </c>
    </row>
    <row r="66" spans="1:10" x14ac:dyDescent="0.25">
      <c r="A66" t="s">
        <v>0</v>
      </c>
      <c r="B66" s="94"/>
      <c r="C66" t="s">
        <v>0</v>
      </c>
      <c r="D66" t="s">
        <v>128</v>
      </c>
      <c r="E66" s="93"/>
      <c r="F66" s="1"/>
      <c r="G66" s="1"/>
      <c r="H66" s="1"/>
      <c r="I66" s="1"/>
      <c r="J66" s="96" t="str">
        <f t="shared" si="1"/>
        <v>"",</v>
      </c>
    </row>
    <row r="67" spans="1:10" x14ac:dyDescent="0.25">
      <c r="A67" t="s">
        <v>0</v>
      </c>
      <c r="B67" s="94"/>
      <c r="C67" t="s">
        <v>0</v>
      </c>
      <c r="D67" t="s">
        <v>128</v>
      </c>
      <c r="E67" s="93"/>
      <c r="F67" s="1"/>
      <c r="G67" s="1"/>
      <c r="H67" s="1"/>
      <c r="I67" s="1"/>
      <c r="J67" s="96" t="str">
        <f t="shared" si="1"/>
        <v>"",</v>
      </c>
    </row>
    <row r="68" spans="1:10" x14ac:dyDescent="0.25">
      <c r="A68" t="s">
        <v>0</v>
      </c>
      <c r="B68" s="94"/>
      <c r="C68" t="s">
        <v>0</v>
      </c>
      <c r="D68" t="s">
        <v>128</v>
      </c>
      <c r="E68" s="93"/>
      <c r="F68" s="1"/>
      <c r="G68" s="1"/>
      <c r="H68" s="1"/>
      <c r="I68" s="1"/>
      <c r="J68" s="96" t="str">
        <f t="shared" si="1"/>
        <v>"",</v>
      </c>
    </row>
    <row r="69" spans="1:10" x14ac:dyDescent="0.25">
      <c r="A69" t="s">
        <v>0</v>
      </c>
      <c r="B69" s="94"/>
      <c r="C69" t="s">
        <v>0</v>
      </c>
      <c r="D69" t="s">
        <v>128</v>
      </c>
      <c r="E69" s="93"/>
      <c r="F69" s="1"/>
      <c r="G69" s="1"/>
      <c r="H69" s="1"/>
      <c r="I69" s="1"/>
      <c r="J69" s="96" t="str">
        <f t="shared" si="1"/>
        <v>"",</v>
      </c>
    </row>
    <row r="70" spans="1:10" x14ac:dyDescent="0.25">
      <c r="A70" t="s">
        <v>0</v>
      </c>
      <c r="B70" s="94"/>
      <c r="C70" t="s">
        <v>0</v>
      </c>
      <c r="D70" t="s">
        <v>128</v>
      </c>
      <c r="E70" s="93"/>
      <c r="F70" s="1"/>
      <c r="G70" s="1"/>
      <c r="H70" s="1"/>
      <c r="I70" s="1"/>
      <c r="J70" s="96" t="str">
        <f t="shared" si="1"/>
        <v>"",</v>
      </c>
    </row>
    <row r="71" spans="1:10" x14ac:dyDescent="0.25">
      <c r="A71" t="s">
        <v>0</v>
      </c>
      <c r="B71" s="94"/>
      <c r="C71" t="s">
        <v>0</v>
      </c>
      <c r="D71" t="s">
        <v>128</v>
      </c>
      <c r="E71" s="93"/>
      <c r="F71" s="1"/>
      <c r="G71" s="1"/>
      <c r="H71" s="1"/>
      <c r="I71" s="1"/>
      <c r="J71" s="96" t="str">
        <f t="shared" si="1"/>
        <v>"",</v>
      </c>
    </row>
    <row r="72" spans="1:10" x14ac:dyDescent="0.25">
      <c r="A72" t="s">
        <v>0</v>
      </c>
      <c r="B72" s="94"/>
      <c r="C72" t="s">
        <v>0</v>
      </c>
      <c r="D72" t="s">
        <v>128</v>
      </c>
      <c r="E72" s="93"/>
      <c r="F72" s="1"/>
      <c r="G72" s="1"/>
      <c r="H72" s="1"/>
      <c r="I72" s="1"/>
      <c r="J72" s="96" t="str">
        <f t="shared" si="1"/>
        <v>"",</v>
      </c>
    </row>
    <row r="73" spans="1:10" x14ac:dyDescent="0.25">
      <c r="A73" t="s">
        <v>0</v>
      </c>
      <c r="B73" s="94"/>
      <c r="C73" t="s">
        <v>0</v>
      </c>
      <c r="D73" t="s">
        <v>128</v>
      </c>
      <c r="E73" s="93"/>
      <c r="F73" s="1"/>
      <c r="G73" s="1"/>
      <c r="H73" s="1"/>
      <c r="I73" s="1"/>
      <c r="J73" s="96" t="str">
        <f t="shared" si="1"/>
        <v>"",</v>
      </c>
    </row>
    <row r="74" spans="1:10" x14ac:dyDescent="0.25">
      <c r="A74" t="s">
        <v>0</v>
      </c>
      <c r="B74" s="94"/>
      <c r="C74" t="s">
        <v>0</v>
      </c>
      <c r="D74" t="s">
        <v>128</v>
      </c>
      <c r="E74" s="93"/>
      <c r="F74" s="1"/>
      <c r="G74" s="1"/>
      <c r="H74" s="1"/>
      <c r="I74" s="1"/>
      <c r="J74" s="96" t="str">
        <f t="shared" si="1"/>
        <v>"",</v>
      </c>
    </row>
    <row r="75" spans="1:10" x14ac:dyDescent="0.25">
      <c r="A75" t="s">
        <v>0</v>
      </c>
      <c r="B75" s="94"/>
      <c r="C75" t="s">
        <v>0</v>
      </c>
      <c r="D75" t="s">
        <v>128</v>
      </c>
      <c r="E75" s="93"/>
      <c r="F75" s="1"/>
      <c r="G75" s="1"/>
      <c r="H75" s="1"/>
      <c r="I75" s="1"/>
      <c r="J75" s="96" t="str">
        <f t="shared" si="1"/>
        <v>"",</v>
      </c>
    </row>
    <row r="76" spans="1:10" x14ac:dyDescent="0.25">
      <c r="A76" t="s">
        <v>0</v>
      </c>
      <c r="B76" s="94"/>
      <c r="C76" t="s">
        <v>0</v>
      </c>
      <c r="D76" t="s">
        <v>128</v>
      </c>
      <c r="E76" s="93"/>
      <c r="F76" s="1"/>
      <c r="G76" s="1"/>
      <c r="H76" s="1"/>
      <c r="I76" s="1"/>
      <c r="J76" s="96" t="str">
        <f t="shared" si="1"/>
        <v>"",</v>
      </c>
    </row>
    <row r="77" spans="1:10" x14ac:dyDescent="0.25">
      <c r="A77" t="s">
        <v>0</v>
      </c>
      <c r="B77" s="94"/>
      <c r="C77" t="s">
        <v>0</v>
      </c>
      <c r="D77" t="s">
        <v>128</v>
      </c>
      <c r="E77" s="93"/>
      <c r="F77" s="1"/>
      <c r="G77" s="1"/>
      <c r="H77" s="1"/>
      <c r="I77" s="1"/>
      <c r="J77" s="96" t="str">
        <f t="shared" si="1"/>
        <v>"",</v>
      </c>
    </row>
    <row r="78" spans="1:10" x14ac:dyDescent="0.25">
      <c r="A78" t="s">
        <v>0</v>
      </c>
      <c r="B78" s="94"/>
      <c r="C78" t="s">
        <v>0</v>
      </c>
      <c r="D78" t="s">
        <v>128</v>
      </c>
      <c r="E78" s="93"/>
      <c r="F78" s="1"/>
      <c r="G78" s="1"/>
      <c r="H78" s="1"/>
      <c r="I78" s="1"/>
      <c r="J78" s="96" t="str">
        <f t="shared" si="1"/>
        <v>"",</v>
      </c>
    </row>
    <row r="79" spans="1:10" x14ac:dyDescent="0.25">
      <c r="A79" t="s">
        <v>0</v>
      </c>
      <c r="B79" s="94"/>
      <c r="C79" t="s">
        <v>0</v>
      </c>
      <c r="D79" t="s">
        <v>128</v>
      </c>
      <c r="E79" s="93"/>
      <c r="F79" s="1"/>
      <c r="G79" s="1"/>
      <c r="H79" s="1"/>
      <c r="I79" s="1"/>
      <c r="J79" s="96" t="str">
        <f t="shared" si="1"/>
        <v>"",</v>
      </c>
    </row>
    <row r="80" spans="1:10" x14ac:dyDescent="0.25">
      <c r="A80" t="s">
        <v>0</v>
      </c>
      <c r="B80" s="94"/>
      <c r="C80" t="s">
        <v>0</v>
      </c>
      <c r="D80" t="s">
        <v>128</v>
      </c>
      <c r="E80" s="93"/>
      <c r="F80" s="1"/>
      <c r="G80" s="1"/>
      <c r="H80" s="1"/>
      <c r="I80" s="1"/>
      <c r="J80" s="96" t="str">
        <f t="shared" si="1"/>
        <v>"",</v>
      </c>
    </row>
    <row r="81" spans="1:10" x14ac:dyDescent="0.25">
      <c r="A81" t="s">
        <v>0</v>
      </c>
      <c r="B81" s="94"/>
      <c r="C81" t="s">
        <v>0</v>
      </c>
      <c r="D81" t="s">
        <v>128</v>
      </c>
      <c r="E81" s="93"/>
      <c r="F81" s="1"/>
      <c r="G81" s="1"/>
      <c r="H81" s="1"/>
      <c r="I81" s="1"/>
      <c r="J81" s="96" t="str">
        <f t="shared" si="1"/>
        <v>"",</v>
      </c>
    </row>
    <row r="82" spans="1:10" x14ac:dyDescent="0.25">
      <c r="A82" t="s">
        <v>0</v>
      </c>
      <c r="B82" s="94"/>
      <c r="C82" t="s">
        <v>0</v>
      </c>
      <c r="D82" t="s">
        <v>128</v>
      </c>
      <c r="E82" s="93"/>
      <c r="F82" s="1"/>
      <c r="G82" s="1"/>
      <c r="H82" s="1"/>
      <c r="I82" s="1"/>
      <c r="J82" s="96" t="str">
        <f t="shared" si="1"/>
        <v>"",</v>
      </c>
    </row>
    <row r="83" spans="1:10" x14ac:dyDescent="0.25">
      <c r="A83" t="s">
        <v>0</v>
      </c>
      <c r="B83" s="94"/>
      <c r="C83" t="s">
        <v>0</v>
      </c>
      <c r="D83" t="s">
        <v>128</v>
      </c>
      <c r="E83" s="93"/>
      <c r="F83" s="1"/>
      <c r="G83" s="1"/>
      <c r="H83" s="1"/>
      <c r="I83" s="1"/>
      <c r="J83" s="96" t="str">
        <f t="shared" si="1"/>
        <v>"",</v>
      </c>
    </row>
    <row r="84" spans="1:10" x14ac:dyDescent="0.25">
      <c r="A84" t="s">
        <v>0</v>
      </c>
      <c r="B84" s="94"/>
      <c r="C84" t="s">
        <v>0</v>
      </c>
      <c r="D84" t="s">
        <v>128</v>
      </c>
      <c r="E84" s="93"/>
      <c r="F84" s="1"/>
      <c r="G84" s="1"/>
      <c r="H84" s="1"/>
      <c r="I84" s="1"/>
      <c r="J84" s="96" t="str">
        <f t="shared" si="1"/>
        <v>"",</v>
      </c>
    </row>
    <row r="85" spans="1:10" x14ac:dyDescent="0.25">
      <c r="A85" t="s">
        <v>0</v>
      </c>
      <c r="B85" s="94"/>
      <c r="C85" t="s">
        <v>0</v>
      </c>
      <c r="D85" t="s">
        <v>128</v>
      </c>
      <c r="E85" s="93"/>
      <c r="F85" s="1"/>
      <c r="G85" s="1"/>
      <c r="H85" s="1"/>
      <c r="I85" s="1"/>
      <c r="J85" s="96" t="str">
        <f t="shared" si="1"/>
        <v>"",</v>
      </c>
    </row>
    <row r="86" spans="1:10" x14ac:dyDescent="0.25">
      <c r="A86" t="s">
        <v>0</v>
      </c>
      <c r="B86" s="94"/>
      <c r="C86" t="s">
        <v>0</v>
      </c>
      <c r="D86" t="s">
        <v>128</v>
      </c>
      <c r="E86" s="93"/>
      <c r="F86" s="1"/>
      <c r="G86" s="1"/>
      <c r="H86" s="1"/>
      <c r="I86" s="1"/>
      <c r="J86" s="96" t="str">
        <f t="shared" si="1"/>
        <v>"",</v>
      </c>
    </row>
    <row r="87" spans="1:10" x14ac:dyDescent="0.25">
      <c r="A87" t="s">
        <v>0</v>
      </c>
      <c r="B87" s="94"/>
      <c r="C87" t="s">
        <v>0</v>
      </c>
      <c r="D87" t="s">
        <v>128</v>
      </c>
      <c r="E87" s="93"/>
      <c r="F87" s="1"/>
      <c r="G87" s="1"/>
      <c r="H87" s="1"/>
      <c r="I87" s="1"/>
      <c r="J87" s="96" t="str">
        <f t="shared" si="1"/>
        <v>"",</v>
      </c>
    </row>
    <row r="88" spans="1:10" x14ac:dyDescent="0.25">
      <c r="A88" t="s">
        <v>0</v>
      </c>
      <c r="B88" s="94"/>
      <c r="C88" t="s">
        <v>0</v>
      </c>
      <c r="D88" t="s">
        <v>128</v>
      </c>
      <c r="E88" s="93"/>
      <c r="F88" s="1"/>
      <c r="G88" s="1"/>
      <c r="H88" s="1"/>
      <c r="I88" s="1"/>
      <c r="J88" s="96" t="str">
        <f t="shared" si="1"/>
        <v>"",</v>
      </c>
    </row>
    <row r="89" spans="1:10" x14ac:dyDescent="0.25">
      <c r="A89" t="s">
        <v>0</v>
      </c>
      <c r="B89" s="94"/>
      <c r="C89" t="s">
        <v>0</v>
      </c>
      <c r="D89" t="s">
        <v>128</v>
      </c>
      <c r="E89" s="93"/>
      <c r="F89" s="1"/>
      <c r="G89" s="1"/>
      <c r="H89" s="1"/>
      <c r="I89" s="1"/>
      <c r="J89" s="96" t="str">
        <f t="shared" si="1"/>
        <v>"",</v>
      </c>
    </row>
    <row r="90" spans="1:10" x14ac:dyDescent="0.25">
      <c r="A90" t="s">
        <v>0</v>
      </c>
      <c r="B90" s="94"/>
      <c r="C90" t="s">
        <v>0</v>
      </c>
      <c r="D90" t="s">
        <v>128</v>
      </c>
      <c r="E90" s="93"/>
      <c r="F90" s="1"/>
      <c r="G90" s="1"/>
      <c r="H90" s="1"/>
      <c r="I90" s="1"/>
      <c r="J90" s="96" t="str">
        <f t="shared" si="1"/>
        <v>"",</v>
      </c>
    </row>
    <row r="91" spans="1:10" x14ac:dyDescent="0.25">
      <c r="A91" t="s">
        <v>0</v>
      </c>
      <c r="B91" s="94"/>
      <c r="C91" t="s">
        <v>0</v>
      </c>
      <c r="D91" t="s">
        <v>128</v>
      </c>
      <c r="E91" s="93"/>
      <c r="F91" s="1"/>
      <c r="G91" s="1"/>
      <c r="H91" s="1"/>
      <c r="I91" s="1"/>
      <c r="J91" s="96" t="str">
        <f t="shared" si="1"/>
        <v>"",</v>
      </c>
    </row>
    <row r="92" spans="1:10" x14ac:dyDescent="0.25">
      <c r="A92" t="s">
        <v>0</v>
      </c>
      <c r="B92" s="94"/>
      <c r="C92" t="s">
        <v>0</v>
      </c>
      <c r="D92" t="s">
        <v>128</v>
      </c>
      <c r="E92" s="93"/>
      <c r="F92" s="1"/>
      <c r="G92" s="1"/>
      <c r="H92" s="1"/>
      <c r="I92" s="1"/>
      <c r="J92" s="96" t="str">
        <f t="shared" si="1"/>
        <v>"",</v>
      </c>
    </row>
    <row r="93" spans="1:10" x14ac:dyDescent="0.25">
      <c r="A93" t="s">
        <v>0</v>
      </c>
      <c r="B93" s="94"/>
      <c r="C93" t="s">
        <v>0</v>
      </c>
      <c r="D93" t="s">
        <v>128</v>
      </c>
      <c r="E93" s="93"/>
      <c r="F93" s="1"/>
      <c r="G93" s="1"/>
      <c r="H93" s="1"/>
      <c r="I93" s="1"/>
      <c r="J93" s="96" t="str">
        <f t="shared" si="1"/>
        <v>"",</v>
      </c>
    </row>
    <row r="94" spans="1:10" x14ac:dyDescent="0.25">
      <c r="A94" t="s">
        <v>0</v>
      </c>
      <c r="B94" s="94"/>
      <c r="C94" t="s">
        <v>0</v>
      </c>
      <c r="D94" t="s">
        <v>128</v>
      </c>
      <c r="E94" s="93"/>
      <c r="F94" s="1"/>
      <c r="G94" s="1"/>
      <c r="H94" s="1"/>
      <c r="I94" s="1"/>
      <c r="J94" s="96" t="str">
        <f t="shared" si="1"/>
        <v>"",</v>
      </c>
    </row>
    <row r="95" spans="1:10" x14ac:dyDescent="0.25">
      <c r="A95" t="s">
        <v>0</v>
      </c>
      <c r="B95" s="94"/>
      <c r="C95" t="s">
        <v>0</v>
      </c>
      <c r="D95" t="s">
        <v>128</v>
      </c>
      <c r="E95" s="93"/>
      <c r="F95" s="1"/>
      <c r="G95" s="1"/>
      <c r="H95" s="1"/>
      <c r="I95" s="1"/>
      <c r="J95" s="96" t="str">
        <f t="shared" si="1"/>
        <v>"",</v>
      </c>
    </row>
    <row r="96" spans="1:10" x14ac:dyDescent="0.25">
      <c r="A96" t="s">
        <v>0</v>
      </c>
      <c r="B96" s="94"/>
      <c r="C96" t="s">
        <v>0</v>
      </c>
      <c r="D96" t="s">
        <v>128</v>
      </c>
      <c r="E96" s="93"/>
      <c r="F96" s="1"/>
      <c r="G96" s="1"/>
      <c r="H96" s="1"/>
      <c r="I96" s="1"/>
      <c r="J96" s="96" t="str">
        <f t="shared" si="1"/>
        <v>"",</v>
      </c>
    </row>
    <row r="97" spans="1:10" x14ac:dyDescent="0.25">
      <c r="A97" t="s">
        <v>0</v>
      </c>
      <c r="B97" s="94"/>
      <c r="C97" t="s">
        <v>0</v>
      </c>
      <c r="D97" t="s">
        <v>128</v>
      </c>
      <c r="E97" s="93"/>
      <c r="F97" s="1"/>
      <c r="G97" s="1"/>
      <c r="H97" s="1"/>
      <c r="I97" s="1"/>
      <c r="J97" s="96" t="str">
        <f t="shared" si="1"/>
        <v>"",</v>
      </c>
    </row>
    <row r="98" spans="1:10" x14ac:dyDescent="0.25">
      <c r="A98" t="s">
        <v>0</v>
      </c>
      <c r="B98" s="94"/>
      <c r="C98" t="s">
        <v>0</v>
      </c>
      <c r="D98" t="s">
        <v>128</v>
      </c>
      <c r="E98" s="93"/>
      <c r="F98" s="1"/>
      <c r="G98" s="1"/>
      <c r="H98" s="1"/>
      <c r="I98" s="1"/>
      <c r="J98" s="96" t="str">
        <f t="shared" si="1"/>
        <v>"",</v>
      </c>
    </row>
    <row r="99" spans="1:10" x14ac:dyDescent="0.25">
      <c r="A99" t="s">
        <v>0</v>
      </c>
      <c r="B99" s="94"/>
      <c r="C99" t="s">
        <v>0</v>
      </c>
      <c r="D99" t="s">
        <v>128</v>
      </c>
      <c r="E99" s="93"/>
      <c r="F99" s="1"/>
      <c r="G99" s="1"/>
      <c r="H99" s="1"/>
      <c r="I99" s="1"/>
      <c r="J99" s="96" t="str">
        <f t="shared" si="1"/>
        <v>"",</v>
      </c>
    </row>
    <row r="100" spans="1:10" x14ac:dyDescent="0.25">
      <c r="A100" t="s">
        <v>0</v>
      </c>
      <c r="B100" s="94"/>
      <c r="C100" t="s">
        <v>0</v>
      </c>
      <c r="D100" t="s">
        <v>128</v>
      </c>
      <c r="E100" s="93"/>
      <c r="F100" s="1"/>
      <c r="G100" s="1"/>
      <c r="H100" s="1"/>
      <c r="I100" s="1"/>
      <c r="J100" s="96" t="str">
        <f t="shared" si="1"/>
        <v>"",</v>
      </c>
    </row>
    <row r="101" spans="1:10" x14ac:dyDescent="0.25">
      <c r="A101" t="s">
        <v>0</v>
      </c>
      <c r="B101" s="94"/>
      <c r="C101" t="s">
        <v>0</v>
      </c>
      <c r="D101" t="s">
        <v>128</v>
      </c>
      <c r="E101" s="93"/>
      <c r="F101" s="1"/>
      <c r="G101" s="1"/>
      <c r="H101" s="1"/>
      <c r="I101" s="1"/>
      <c r="J101" s="96" t="str">
        <f t="shared" si="1"/>
        <v>"",</v>
      </c>
    </row>
    <row r="102" spans="1:10" x14ac:dyDescent="0.25">
      <c r="A102" t="s">
        <v>0</v>
      </c>
      <c r="B102" s="94"/>
      <c r="C102" t="s">
        <v>0</v>
      </c>
      <c r="D102" t="s">
        <v>128</v>
      </c>
      <c r="E102" s="93"/>
      <c r="F102" s="1"/>
      <c r="G102" s="1"/>
      <c r="H102" s="1"/>
      <c r="I102" s="1"/>
      <c r="J102" s="96" t="str">
        <f t="shared" si="1"/>
        <v>"",</v>
      </c>
    </row>
    <row r="103" spans="1:10" x14ac:dyDescent="0.25">
      <c r="A103" t="s">
        <v>0</v>
      </c>
      <c r="B103" s="94"/>
      <c r="C103" t="s">
        <v>0</v>
      </c>
      <c r="D103" t="s">
        <v>128</v>
      </c>
      <c r="E103" s="93"/>
      <c r="F103" s="1"/>
      <c r="G103" s="1"/>
      <c r="H103" s="1"/>
      <c r="I103" s="1"/>
      <c r="J103" s="96" t="str">
        <f t="shared" si="1"/>
        <v>"",</v>
      </c>
    </row>
    <row r="104" spans="1:10" x14ac:dyDescent="0.25">
      <c r="A104" t="s">
        <v>0</v>
      </c>
      <c r="B104" s="94"/>
      <c r="C104" t="s">
        <v>0</v>
      </c>
      <c r="D104" t="s">
        <v>128</v>
      </c>
      <c r="E104" s="93"/>
      <c r="F104" s="1"/>
      <c r="G104" s="1"/>
      <c r="H104" s="1"/>
      <c r="I104" s="1"/>
      <c r="J104" s="96" t="str">
        <f t="shared" si="1"/>
        <v>"",</v>
      </c>
    </row>
    <row r="105" spans="1:10" x14ac:dyDescent="0.25">
      <c r="A105" t="s">
        <v>0</v>
      </c>
      <c r="B105" s="94"/>
      <c r="C105" t="s">
        <v>0</v>
      </c>
      <c r="D105" t="s">
        <v>128</v>
      </c>
      <c r="E105" s="93"/>
      <c r="F105" s="1"/>
      <c r="G105" s="1"/>
      <c r="H105" s="1"/>
      <c r="I105" s="1"/>
      <c r="J105" s="96" t="str">
        <f t="shared" si="1"/>
        <v>"",</v>
      </c>
    </row>
    <row r="106" spans="1:10" x14ac:dyDescent="0.25">
      <c r="A106" t="s">
        <v>0</v>
      </c>
      <c r="B106" s="94"/>
      <c r="C106" t="s">
        <v>0</v>
      </c>
      <c r="D106" t="s">
        <v>128</v>
      </c>
      <c r="E106" s="93"/>
      <c r="F106" s="1"/>
      <c r="G106" s="1"/>
      <c r="H106" s="1"/>
      <c r="I106" s="1"/>
      <c r="J106" s="96" t="str">
        <f t="shared" si="1"/>
        <v>"",</v>
      </c>
    </row>
    <row r="107" spans="1:10" x14ac:dyDescent="0.25">
      <c r="A107" t="s">
        <v>0</v>
      </c>
      <c r="B107" s="94"/>
      <c r="C107" t="s">
        <v>0</v>
      </c>
      <c r="D107" t="s">
        <v>128</v>
      </c>
      <c r="E107" s="93"/>
      <c r="F107" s="1"/>
      <c r="G107" s="1"/>
      <c r="H107" s="1"/>
      <c r="I107" s="1"/>
      <c r="J107" s="96" t="str">
        <f t="shared" si="1"/>
        <v>"",</v>
      </c>
    </row>
    <row r="108" spans="1:10" x14ac:dyDescent="0.25">
      <c r="A108" t="s">
        <v>0</v>
      </c>
      <c r="B108" s="94"/>
      <c r="C108" t="s">
        <v>0</v>
      </c>
      <c r="D108" t="s">
        <v>128</v>
      </c>
      <c r="E108" s="93"/>
      <c r="F108" s="1"/>
      <c r="G108" s="1"/>
      <c r="H108" s="1"/>
      <c r="I108" s="1"/>
      <c r="J108" s="96" t="str">
        <f t="shared" si="1"/>
        <v>"",</v>
      </c>
    </row>
    <row r="109" spans="1:10" x14ac:dyDescent="0.25">
      <c r="A109" t="s">
        <v>0</v>
      </c>
      <c r="B109" s="94"/>
      <c r="C109" t="s">
        <v>0</v>
      </c>
      <c r="D109" t="s">
        <v>128</v>
      </c>
      <c r="E109" s="93"/>
      <c r="F109" s="1"/>
      <c r="G109" s="1"/>
      <c r="H109" s="1"/>
      <c r="I109" s="1"/>
      <c r="J109" s="96" t="str">
        <f t="shared" si="1"/>
        <v>"",</v>
      </c>
    </row>
    <row r="110" spans="1:10" x14ac:dyDescent="0.25">
      <c r="A110" t="s">
        <v>0</v>
      </c>
      <c r="B110" s="94"/>
      <c r="C110" t="s">
        <v>0</v>
      </c>
      <c r="D110" t="s">
        <v>128</v>
      </c>
      <c r="E110" s="93"/>
      <c r="F110" s="1"/>
      <c r="G110" s="1"/>
      <c r="H110" s="1"/>
      <c r="I110" s="1"/>
      <c r="J110" s="96" t="str">
        <f t="shared" si="1"/>
        <v>"",</v>
      </c>
    </row>
    <row r="111" spans="1:10" x14ac:dyDescent="0.25">
      <c r="A111" t="s">
        <v>0</v>
      </c>
      <c r="B111" s="94"/>
      <c r="C111" t="s">
        <v>0</v>
      </c>
      <c r="D111" t="s">
        <v>128</v>
      </c>
      <c r="E111" s="93"/>
      <c r="F111" s="1"/>
      <c r="G111" s="1"/>
      <c r="H111" s="1"/>
      <c r="I111" s="1"/>
      <c r="J111" s="96" t="str">
        <f t="shared" si="1"/>
        <v>"",</v>
      </c>
    </row>
    <row r="112" spans="1:10" x14ac:dyDescent="0.25">
      <c r="A112" t="s">
        <v>0</v>
      </c>
      <c r="B112" s="94"/>
      <c r="C112" t="s">
        <v>0</v>
      </c>
      <c r="D112" t="s">
        <v>128</v>
      </c>
      <c r="E112" s="93"/>
      <c r="F112" s="1"/>
      <c r="G112" s="1"/>
      <c r="H112" s="1"/>
      <c r="I112" s="1"/>
      <c r="J112" s="96" t="str">
        <f t="shared" si="1"/>
        <v>"",</v>
      </c>
    </row>
    <row r="113" spans="1:10" x14ac:dyDescent="0.25">
      <c r="A113" t="s">
        <v>0</v>
      </c>
      <c r="B113" s="94"/>
      <c r="C113" t="s">
        <v>0</v>
      </c>
      <c r="D113" t="s">
        <v>128</v>
      </c>
      <c r="E113" s="93"/>
      <c r="F113" s="1"/>
      <c r="G113" s="1"/>
      <c r="H113" s="1"/>
      <c r="I113" s="1"/>
      <c r="J113" s="96" t="str">
        <f t="shared" si="1"/>
        <v>"",</v>
      </c>
    </row>
    <row r="114" spans="1:10" x14ac:dyDescent="0.25">
      <c r="A114" t="s">
        <v>0</v>
      </c>
      <c r="B114" s="94"/>
      <c r="C114" t="s">
        <v>0</v>
      </c>
      <c r="D114" t="s">
        <v>128</v>
      </c>
      <c r="E114" s="93"/>
      <c r="F114" s="1"/>
      <c r="G114" s="1"/>
      <c r="H114" s="1"/>
      <c r="I114" s="1"/>
      <c r="J114" s="96" t="str">
        <f t="shared" si="1"/>
        <v>"",</v>
      </c>
    </row>
    <row r="115" spans="1:10" x14ac:dyDescent="0.25">
      <c r="A115" t="s">
        <v>0</v>
      </c>
      <c r="B115" s="94"/>
      <c r="C115" t="s">
        <v>0</v>
      </c>
      <c r="D115" t="s">
        <v>128</v>
      </c>
      <c r="E115" s="93"/>
      <c r="F115" s="1"/>
      <c r="G115" s="1"/>
      <c r="H115" s="1"/>
      <c r="I115" s="1"/>
      <c r="J115" s="96" t="str">
        <f t="shared" si="1"/>
        <v>"",</v>
      </c>
    </row>
    <row r="116" spans="1:10" x14ac:dyDescent="0.25">
      <c r="A116" t="s">
        <v>0</v>
      </c>
      <c r="B116" s="94"/>
      <c r="C116" t="s">
        <v>0</v>
      </c>
      <c r="D116" t="s">
        <v>128</v>
      </c>
      <c r="E116" s="93"/>
      <c r="F116" s="1"/>
      <c r="G116" s="1"/>
      <c r="H116" s="1"/>
      <c r="I116" s="1"/>
      <c r="J116" s="96" t="str">
        <f t="shared" si="1"/>
        <v>"",</v>
      </c>
    </row>
    <row r="117" spans="1:10" x14ac:dyDescent="0.25">
      <c r="A117" t="s">
        <v>0</v>
      </c>
      <c r="B117" s="94"/>
      <c r="C117" t="s">
        <v>0</v>
      </c>
      <c r="D117" t="s">
        <v>128</v>
      </c>
      <c r="E117" s="93"/>
      <c r="F117" s="1"/>
      <c r="G117" s="1"/>
      <c r="H117" s="1"/>
      <c r="I117" s="1"/>
      <c r="J117" s="96" t="str">
        <f t="shared" si="1"/>
        <v>"",</v>
      </c>
    </row>
    <row r="118" spans="1:10" x14ac:dyDescent="0.25">
      <c r="A118" t="s">
        <v>0</v>
      </c>
      <c r="B118" s="94"/>
      <c r="C118" t="s">
        <v>0</v>
      </c>
      <c r="D118" t="s">
        <v>128</v>
      </c>
      <c r="E118" s="93"/>
      <c r="F118" s="1"/>
      <c r="G118" s="1"/>
      <c r="H118" s="1"/>
      <c r="I118" s="1"/>
      <c r="J118" s="96" t="str">
        <f t="shared" si="1"/>
        <v>"",</v>
      </c>
    </row>
    <row r="119" spans="1:10" x14ac:dyDescent="0.25">
      <c r="A119" t="s">
        <v>0</v>
      </c>
      <c r="B119" s="94"/>
      <c r="C119" t="s">
        <v>0</v>
      </c>
      <c r="D119" t="s">
        <v>128</v>
      </c>
      <c r="E119" s="1"/>
      <c r="F119" s="1"/>
      <c r="G119" s="1"/>
      <c r="J119" s="96" t="str">
        <f t="shared" si="1"/>
        <v>"",</v>
      </c>
    </row>
    <row r="120" spans="1:10" x14ac:dyDescent="0.25">
      <c r="A120" t="s">
        <v>0</v>
      </c>
      <c r="B120" s="94"/>
      <c r="C120" t="s">
        <v>0</v>
      </c>
      <c r="D120" t="s">
        <v>128</v>
      </c>
      <c r="E120" s="1"/>
      <c r="F120" s="1"/>
      <c r="G120" s="1"/>
      <c r="J120" s="96" t="str">
        <f t="shared" si="1"/>
        <v>"",</v>
      </c>
    </row>
    <row r="121" spans="1:10" x14ac:dyDescent="0.25">
      <c r="A121" t="s">
        <v>0</v>
      </c>
      <c r="B121" s="94"/>
      <c r="C121" t="s">
        <v>0</v>
      </c>
      <c r="D121" t="s">
        <v>128</v>
      </c>
      <c r="E121" s="1"/>
      <c r="F121" s="1"/>
      <c r="G121" s="1"/>
      <c r="J121" s="96" t="str">
        <f t="shared" si="1"/>
        <v>"",</v>
      </c>
    </row>
    <row r="122" spans="1:10" x14ac:dyDescent="0.25">
      <c r="A122" t="s">
        <v>0</v>
      </c>
      <c r="B122" s="94"/>
      <c r="C122" t="s">
        <v>0</v>
      </c>
      <c r="D122" t="s">
        <v>128</v>
      </c>
      <c r="E122" s="1"/>
      <c r="F122" s="1"/>
      <c r="G122" s="1"/>
      <c r="J122" s="96" t="str">
        <f t="shared" si="1"/>
        <v>"",</v>
      </c>
    </row>
    <row r="123" spans="1:10" x14ac:dyDescent="0.25">
      <c r="A123" t="s">
        <v>0</v>
      </c>
      <c r="B123" s="94"/>
      <c r="C123" t="s">
        <v>0</v>
      </c>
      <c r="D123" t="s">
        <v>128</v>
      </c>
      <c r="E123" s="1"/>
      <c r="F123" s="1"/>
      <c r="G123" s="1"/>
      <c r="J123" s="96" t="str">
        <f t="shared" si="1"/>
        <v>"",</v>
      </c>
    </row>
    <row r="124" spans="1:10" x14ac:dyDescent="0.25">
      <c r="A124" t="s">
        <v>0</v>
      </c>
      <c r="B124" s="94"/>
      <c r="C124" t="s">
        <v>0</v>
      </c>
      <c r="D124" t="s">
        <v>128</v>
      </c>
      <c r="E124" s="1"/>
      <c r="F124" s="1"/>
      <c r="G124" s="1"/>
      <c r="J124" s="96" t="str">
        <f t="shared" si="1"/>
        <v>"",</v>
      </c>
    </row>
    <row r="125" spans="1:10" x14ac:dyDescent="0.25">
      <c r="A125" t="s">
        <v>0</v>
      </c>
      <c r="B125" s="94"/>
      <c r="C125" t="s">
        <v>0</v>
      </c>
      <c r="D125" t="s">
        <v>128</v>
      </c>
      <c r="J125" s="96" t="str">
        <f t="shared" si="1"/>
        <v>"",</v>
      </c>
    </row>
    <row r="126" spans="1:10" x14ac:dyDescent="0.25">
      <c r="A126" t="s">
        <v>0</v>
      </c>
      <c r="B126" s="94"/>
      <c r="C126" t="s">
        <v>0</v>
      </c>
      <c r="D126" t="s">
        <v>128</v>
      </c>
      <c r="J126" s="96" t="str">
        <f t="shared" si="1"/>
        <v>"",</v>
      </c>
    </row>
    <row r="127" spans="1:10" x14ac:dyDescent="0.25">
      <c r="A127" t="s">
        <v>0</v>
      </c>
      <c r="B127" s="94"/>
      <c r="C127" t="s">
        <v>0</v>
      </c>
      <c r="D127" t="s">
        <v>128</v>
      </c>
      <c r="J127" s="96" t="str">
        <f t="shared" si="1"/>
        <v>"",</v>
      </c>
    </row>
    <row r="128" spans="1:10" x14ac:dyDescent="0.25">
      <c r="A128" t="s">
        <v>0</v>
      </c>
      <c r="B128" s="94"/>
      <c r="C128" t="s">
        <v>0</v>
      </c>
      <c r="D128" t="s">
        <v>128</v>
      </c>
      <c r="J128" s="96" t="str">
        <f t="shared" si="1"/>
        <v>"",</v>
      </c>
    </row>
    <row r="129" spans="1:10" x14ac:dyDescent="0.25">
      <c r="A129" t="s">
        <v>0</v>
      </c>
      <c r="B129" s="94"/>
      <c r="C129" t="s">
        <v>0</v>
      </c>
      <c r="D129" t="s">
        <v>128</v>
      </c>
      <c r="J129" s="96" t="str">
        <f t="shared" ref="J129:J192" si="2">A129&amp;B129&amp;C129&amp;D129&amp;E129&amp;F129&amp;G129&amp;H129&amp;I129</f>
        <v>"",</v>
      </c>
    </row>
    <row r="130" spans="1:10" x14ac:dyDescent="0.25">
      <c r="A130" t="s">
        <v>0</v>
      </c>
      <c r="B130" s="94"/>
      <c r="C130" t="s">
        <v>0</v>
      </c>
      <c r="D130" t="s">
        <v>128</v>
      </c>
      <c r="J130" s="96" t="str">
        <f t="shared" si="2"/>
        <v>"",</v>
      </c>
    </row>
    <row r="131" spans="1:10" x14ac:dyDescent="0.25">
      <c r="A131" t="s">
        <v>0</v>
      </c>
      <c r="B131" s="94"/>
      <c r="C131" t="s">
        <v>0</v>
      </c>
      <c r="D131" t="s">
        <v>128</v>
      </c>
      <c r="J131" s="96" t="str">
        <f t="shared" si="2"/>
        <v>"",</v>
      </c>
    </row>
    <row r="132" spans="1:10" x14ac:dyDescent="0.25">
      <c r="A132" t="s">
        <v>0</v>
      </c>
      <c r="B132" s="94"/>
      <c r="C132" t="s">
        <v>0</v>
      </c>
      <c r="D132" t="s">
        <v>128</v>
      </c>
      <c r="J132" s="96" t="str">
        <f t="shared" si="2"/>
        <v>"",</v>
      </c>
    </row>
    <row r="133" spans="1:10" x14ac:dyDescent="0.25">
      <c r="A133" t="s">
        <v>0</v>
      </c>
      <c r="B133" s="94"/>
      <c r="C133" t="s">
        <v>0</v>
      </c>
      <c r="D133" t="s">
        <v>128</v>
      </c>
      <c r="J133" s="96" t="str">
        <f t="shared" si="2"/>
        <v>"",</v>
      </c>
    </row>
    <row r="134" spans="1:10" x14ac:dyDescent="0.25">
      <c r="A134" t="s">
        <v>0</v>
      </c>
      <c r="B134" s="94"/>
      <c r="C134" t="s">
        <v>0</v>
      </c>
      <c r="D134" t="s">
        <v>128</v>
      </c>
      <c r="J134" s="96" t="str">
        <f t="shared" si="2"/>
        <v>"",</v>
      </c>
    </row>
    <row r="135" spans="1:10" x14ac:dyDescent="0.25">
      <c r="A135" t="s">
        <v>0</v>
      </c>
      <c r="B135" s="94"/>
      <c r="C135" t="s">
        <v>0</v>
      </c>
      <c r="D135" t="s">
        <v>128</v>
      </c>
      <c r="J135" s="96" t="str">
        <f t="shared" si="2"/>
        <v>"",</v>
      </c>
    </row>
    <row r="136" spans="1:10" x14ac:dyDescent="0.25">
      <c r="A136" t="s">
        <v>0</v>
      </c>
      <c r="B136" s="94"/>
      <c r="C136" t="s">
        <v>0</v>
      </c>
      <c r="D136" t="s">
        <v>128</v>
      </c>
      <c r="J136" s="96" t="str">
        <f t="shared" si="2"/>
        <v>"",</v>
      </c>
    </row>
    <row r="137" spans="1:10" x14ac:dyDescent="0.25">
      <c r="A137" t="s">
        <v>0</v>
      </c>
      <c r="B137" s="94"/>
      <c r="C137" t="s">
        <v>0</v>
      </c>
      <c r="D137" t="s">
        <v>128</v>
      </c>
      <c r="J137" s="96" t="str">
        <f t="shared" si="2"/>
        <v>"",</v>
      </c>
    </row>
    <row r="138" spans="1:10" x14ac:dyDescent="0.25">
      <c r="A138" t="s">
        <v>0</v>
      </c>
      <c r="B138" s="94"/>
      <c r="C138" t="s">
        <v>0</v>
      </c>
      <c r="D138" t="s">
        <v>128</v>
      </c>
      <c r="J138" s="96" t="str">
        <f t="shared" si="2"/>
        <v>"",</v>
      </c>
    </row>
    <row r="139" spans="1:10" x14ac:dyDescent="0.25">
      <c r="A139" t="s">
        <v>0</v>
      </c>
      <c r="B139" s="94"/>
      <c r="C139" t="s">
        <v>0</v>
      </c>
      <c r="D139" t="s">
        <v>128</v>
      </c>
      <c r="J139" s="96" t="str">
        <f t="shared" si="2"/>
        <v>"",</v>
      </c>
    </row>
    <row r="140" spans="1:10" x14ac:dyDescent="0.25">
      <c r="A140" t="s">
        <v>0</v>
      </c>
      <c r="B140" s="94"/>
      <c r="C140" t="s">
        <v>0</v>
      </c>
      <c r="D140" t="s">
        <v>128</v>
      </c>
      <c r="J140" s="96" t="str">
        <f t="shared" si="2"/>
        <v>"",</v>
      </c>
    </row>
    <row r="141" spans="1:10" x14ac:dyDescent="0.25">
      <c r="A141" t="s">
        <v>0</v>
      </c>
      <c r="B141" s="94"/>
      <c r="C141" t="s">
        <v>0</v>
      </c>
      <c r="D141" t="s">
        <v>128</v>
      </c>
      <c r="J141" s="96" t="str">
        <f t="shared" si="2"/>
        <v>"",</v>
      </c>
    </row>
    <row r="142" spans="1:10" x14ac:dyDescent="0.25">
      <c r="A142" t="s">
        <v>0</v>
      </c>
      <c r="B142" s="94"/>
      <c r="C142" t="s">
        <v>0</v>
      </c>
      <c r="D142" t="s">
        <v>128</v>
      </c>
      <c r="J142" s="96" t="str">
        <f t="shared" si="2"/>
        <v>"",</v>
      </c>
    </row>
    <row r="143" spans="1:10" x14ac:dyDescent="0.25">
      <c r="A143" t="s">
        <v>0</v>
      </c>
      <c r="B143" s="94"/>
      <c r="C143" t="s">
        <v>0</v>
      </c>
      <c r="D143" t="s">
        <v>128</v>
      </c>
      <c r="J143" s="96" t="str">
        <f t="shared" si="2"/>
        <v>"",</v>
      </c>
    </row>
    <row r="144" spans="1:10" x14ac:dyDescent="0.25">
      <c r="A144" t="s">
        <v>0</v>
      </c>
      <c r="B144" s="94"/>
      <c r="C144" t="s">
        <v>0</v>
      </c>
      <c r="D144" t="s">
        <v>128</v>
      </c>
      <c r="J144" s="96" t="str">
        <f t="shared" si="2"/>
        <v>"",</v>
      </c>
    </row>
    <row r="145" spans="1:10" x14ac:dyDescent="0.25">
      <c r="A145" t="s">
        <v>0</v>
      </c>
      <c r="B145" s="94"/>
      <c r="C145" t="s">
        <v>0</v>
      </c>
      <c r="D145" t="s">
        <v>128</v>
      </c>
      <c r="J145" s="96" t="str">
        <f t="shared" si="2"/>
        <v>"",</v>
      </c>
    </row>
    <row r="146" spans="1:10" x14ac:dyDescent="0.25">
      <c r="A146" t="s">
        <v>0</v>
      </c>
      <c r="B146" s="94"/>
      <c r="C146" t="s">
        <v>0</v>
      </c>
      <c r="D146" t="s">
        <v>128</v>
      </c>
      <c r="J146" s="96" t="str">
        <f t="shared" si="2"/>
        <v>"",</v>
      </c>
    </row>
    <row r="147" spans="1:10" x14ac:dyDescent="0.25">
      <c r="A147" t="s">
        <v>0</v>
      </c>
      <c r="B147" s="94"/>
      <c r="C147" t="s">
        <v>0</v>
      </c>
      <c r="D147" t="s">
        <v>128</v>
      </c>
      <c r="J147" s="96" t="str">
        <f t="shared" si="2"/>
        <v>"",</v>
      </c>
    </row>
    <row r="148" spans="1:10" x14ac:dyDescent="0.25">
      <c r="A148" t="s">
        <v>0</v>
      </c>
      <c r="B148" s="94"/>
      <c r="C148" t="s">
        <v>0</v>
      </c>
      <c r="D148" t="s">
        <v>128</v>
      </c>
      <c r="J148" s="96" t="str">
        <f t="shared" si="2"/>
        <v>"",</v>
      </c>
    </row>
    <row r="149" spans="1:10" x14ac:dyDescent="0.25">
      <c r="A149" t="s">
        <v>0</v>
      </c>
      <c r="B149" s="94"/>
      <c r="C149" t="s">
        <v>0</v>
      </c>
      <c r="D149" t="s">
        <v>128</v>
      </c>
      <c r="J149" s="96" t="str">
        <f t="shared" si="2"/>
        <v>"",</v>
      </c>
    </row>
    <row r="150" spans="1:10" x14ac:dyDescent="0.25">
      <c r="A150" t="s">
        <v>0</v>
      </c>
      <c r="B150" s="94"/>
      <c r="C150" t="s">
        <v>0</v>
      </c>
      <c r="D150" t="s">
        <v>128</v>
      </c>
      <c r="J150" s="96" t="str">
        <f t="shared" si="2"/>
        <v>"",</v>
      </c>
    </row>
    <row r="151" spans="1:10" x14ac:dyDescent="0.25">
      <c r="A151" t="s">
        <v>0</v>
      </c>
      <c r="B151" s="94"/>
      <c r="C151" t="s">
        <v>0</v>
      </c>
      <c r="D151" t="s">
        <v>128</v>
      </c>
      <c r="J151" s="96" t="str">
        <f t="shared" si="2"/>
        <v>"",</v>
      </c>
    </row>
    <row r="152" spans="1:10" x14ac:dyDescent="0.25">
      <c r="A152" t="s">
        <v>0</v>
      </c>
      <c r="B152" s="94"/>
      <c r="C152" t="s">
        <v>0</v>
      </c>
      <c r="D152" t="s">
        <v>128</v>
      </c>
      <c r="J152" s="96" t="str">
        <f t="shared" si="2"/>
        <v>"",</v>
      </c>
    </row>
    <row r="153" spans="1:10" x14ac:dyDescent="0.25">
      <c r="A153" t="s">
        <v>0</v>
      </c>
      <c r="B153" s="94"/>
      <c r="C153" t="s">
        <v>0</v>
      </c>
      <c r="D153" t="s">
        <v>128</v>
      </c>
      <c r="J153" s="96" t="str">
        <f t="shared" si="2"/>
        <v>"",</v>
      </c>
    </row>
    <row r="154" spans="1:10" x14ac:dyDescent="0.25">
      <c r="A154" t="s">
        <v>0</v>
      </c>
      <c r="B154" s="94"/>
      <c r="C154" t="s">
        <v>0</v>
      </c>
      <c r="D154" t="s">
        <v>128</v>
      </c>
      <c r="J154" s="96" t="str">
        <f t="shared" si="2"/>
        <v>"",</v>
      </c>
    </row>
    <row r="155" spans="1:10" x14ac:dyDescent="0.25">
      <c r="A155" t="s">
        <v>0</v>
      </c>
      <c r="B155" s="94"/>
      <c r="C155" t="s">
        <v>0</v>
      </c>
      <c r="D155" t="s">
        <v>128</v>
      </c>
      <c r="J155" s="96" t="str">
        <f t="shared" si="2"/>
        <v>"",</v>
      </c>
    </row>
    <row r="156" spans="1:10" x14ac:dyDescent="0.25">
      <c r="A156" t="s">
        <v>0</v>
      </c>
      <c r="B156" s="94"/>
      <c r="C156" t="s">
        <v>0</v>
      </c>
      <c r="D156" t="s">
        <v>128</v>
      </c>
      <c r="J156" s="96" t="str">
        <f t="shared" si="2"/>
        <v>"",</v>
      </c>
    </row>
    <row r="157" spans="1:10" x14ac:dyDescent="0.25">
      <c r="A157" t="s">
        <v>0</v>
      </c>
      <c r="B157" s="94"/>
      <c r="C157" t="s">
        <v>0</v>
      </c>
      <c r="D157" t="s">
        <v>128</v>
      </c>
      <c r="J157" s="96" t="str">
        <f t="shared" si="2"/>
        <v>"",</v>
      </c>
    </row>
    <row r="158" spans="1:10" x14ac:dyDescent="0.25">
      <c r="A158" t="s">
        <v>0</v>
      </c>
      <c r="B158" s="94"/>
      <c r="C158" t="s">
        <v>0</v>
      </c>
      <c r="D158" t="s">
        <v>128</v>
      </c>
      <c r="J158" s="96" t="str">
        <f t="shared" si="2"/>
        <v>"",</v>
      </c>
    </row>
    <row r="159" spans="1:10" x14ac:dyDescent="0.25">
      <c r="A159" t="s">
        <v>0</v>
      </c>
      <c r="B159" s="94"/>
      <c r="C159" t="s">
        <v>0</v>
      </c>
      <c r="D159" t="s">
        <v>128</v>
      </c>
      <c r="J159" s="96" t="str">
        <f t="shared" si="2"/>
        <v>"",</v>
      </c>
    </row>
    <row r="160" spans="1:10" x14ac:dyDescent="0.25">
      <c r="A160" t="s">
        <v>0</v>
      </c>
      <c r="B160" s="94"/>
      <c r="C160" t="s">
        <v>0</v>
      </c>
      <c r="D160" t="s">
        <v>128</v>
      </c>
      <c r="J160" s="96" t="str">
        <f t="shared" si="2"/>
        <v>"",</v>
      </c>
    </row>
    <row r="161" spans="1:10" x14ac:dyDescent="0.25">
      <c r="A161" t="s">
        <v>0</v>
      </c>
      <c r="B161" s="94"/>
      <c r="C161" t="s">
        <v>0</v>
      </c>
      <c r="D161" t="s">
        <v>128</v>
      </c>
      <c r="J161" s="96" t="str">
        <f t="shared" si="2"/>
        <v>"",</v>
      </c>
    </row>
    <row r="162" spans="1:10" x14ac:dyDescent="0.25">
      <c r="A162" t="s">
        <v>0</v>
      </c>
      <c r="B162" s="94"/>
      <c r="C162" t="s">
        <v>0</v>
      </c>
      <c r="D162" t="s">
        <v>128</v>
      </c>
      <c r="J162" s="96" t="str">
        <f t="shared" si="2"/>
        <v>"",</v>
      </c>
    </row>
    <row r="163" spans="1:10" x14ac:dyDescent="0.25">
      <c r="A163" t="s">
        <v>0</v>
      </c>
      <c r="B163" s="94"/>
      <c r="C163" t="s">
        <v>0</v>
      </c>
      <c r="D163" t="s">
        <v>128</v>
      </c>
      <c r="J163" s="96" t="str">
        <f t="shared" si="2"/>
        <v>"",</v>
      </c>
    </row>
    <row r="164" spans="1:10" x14ac:dyDescent="0.25">
      <c r="A164" t="s">
        <v>0</v>
      </c>
      <c r="B164" s="94"/>
      <c r="C164" t="s">
        <v>0</v>
      </c>
      <c r="D164" t="s">
        <v>128</v>
      </c>
      <c r="J164" s="96" t="str">
        <f t="shared" si="2"/>
        <v>"",</v>
      </c>
    </row>
    <row r="165" spans="1:10" x14ac:dyDescent="0.25">
      <c r="A165" t="s">
        <v>0</v>
      </c>
      <c r="B165" s="94"/>
      <c r="C165" t="s">
        <v>0</v>
      </c>
      <c r="D165" t="s">
        <v>128</v>
      </c>
      <c r="J165" s="96" t="str">
        <f t="shared" si="2"/>
        <v>"",</v>
      </c>
    </row>
    <row r="166" spans="1:10" x14ac:dyDescent="0.25">
      <c r="A166" t="s">
        <v>0</v>
      </c>
      <c r="B166" s="94"/>
      <c r="C166" t="s">
        <v>0</v>
      </c>
      <c r="D166" t="s">
        <v>128</v>
      </c>
      <c r="J166" s="96" t="str">
        <f t="shared" si="2"/>
        <v>"",</v>
      </c>
    </row>
    <row r="167" spans="1:10" x14ac:dyDescent="0.25">
      <c r="A167" t="s">
        <v>0</v>
      </c>
      <c r="B167" s="94"/>
      <c r="C167" t="s">
        <v>0</v>
      </c>
      <c r="D167" t="s">
        <v>128</v>
      </c>
      <c r="J167" s="96" t="str">
        <f t="shared" si="2"/>
        <v>"",</v>
      </c>
    </row>
    <row r="168" spans="1:10" x14ac:dyDescent="0.25">
      <c r="A168" t="s">
        <v>0</v>
      </c>
      <c r="B168" s="94"/>
      <c r="C168" t="s">
        <v>0</v>
      </c>
      <c r="D168" t="s">
        <v>128</v>
      </c>
      <c r="J168" s="96" t="str">
        <f t="shared" si="2"/>
        <v>"",</v>
      </c>
    </row>
    <row r="169" spans="1:10" x14ac:dyDescent="0.25">
      <c r="A169" t="s">
        <v>0</v>
      </c>
      <c r="B169" s="94"/>
      <c r="C169" t="s">
        <v>0</v>
      </c>
      <c r="D169" t="s">
        <v>128</v>
      </c>
      <c r="J169" s="96" t="str">
        <f t="shared" si="2"/>
        <v>"",</v>
      </c>
    </row>
    <row r="170" spans="1:10" x14ac:dyDescent="0.25">
      <c r="A170" t="s">
        <v>0</v>
      </c>
      <c r="B170" s="94"/>
      <c r="C170" t="s">
        <v>0</v>
      </c>
      <c r="D170" t="s">
        <v>128</v>
      </c>
      <c r="J170" s="96" t="str">
        <f t="shared" si="2"/>
        <v>"",</v>
      </c>
    </row>
    <row r="171" spans="1:10" x14ac:dyDescent="0.25">
      <c r="A171" t="s">
        <v>0</v>
      </c>
      <c r="B171" s="94"/>
      <c r="C171" t="s">
        <v>0</v>
      </c>
      <c r="D171" t="s">
        <v>128</v>
      </c>
      <c r="J171" s="96" t="str">
        <f t="shared" si="2"/>
        <v>"",</v>
      </c>
    </row>
    <row r="172" spans="1:10" x14ac:dyDescent="0.25">
      <c r="A172" t="s">
        <v>0</v>
      </c>
      <c r="B172" s="94"/>
      <c r="C172" t="s">
        <v>0</v>
      </c>
      <c r="D172" t="s">
        <v>128</v>
      </c>
      <c r="J172" s="96" t="str">
        <f t="shared" si="2"/>
        <v>"",</v>
      </c>
    </row>
    <row r="173" spans="1:10" x14ac:dyDescent="0.25">
      <c r="A173" t="s">
        <v>0</v>
      </c>
      <c r="B173" s="94"/>
      <c r="C173" t="s">
        <v>0</v>
      </c>
      <c r="D173" t="s">
        <v>128</v>
      </c>
      <c r="J173" s="96" t="str">
        <f t="shared" si="2"/>
        <v>"",</v>
      </c>
    </row>
    <row r="174" spans="1:10" x14ac:dyDescent="0.25">
      <c r="A174" t="s">
        <v>0</v>
      </c>
      <c r="B174" s="94"/>
      <c r="C174" t="s">
        <v>0</v>
      </c>
      <c r="D174" t="s">
        <v>128</v>
      </c>
      <c r="J174" s="96" t="str">
        <f t="shared" si="2"/>
        <v>"",</v>
      </c>
    </row>
    <row r="175" spans="1:10" x14ac:dyDescent="0.25">
      <c r="A175" t="s">
        <v>0</v>
      </c>
      <c r="B175" s="94"/>
      <c r="C175" t="s">
        <v>0</v>
      </c>
      <c r="D175" t="s">
        <v>128</v>
      </c>
      <c r="J175" s="96" t="str">
        <f t="shared" si="2"/>
        <v>"",</v>
      </c>
    </row>
    <row r="176" spans="1:10" x14ac:dyDescent="0.25">
      <c r="A176" t="s">
        <v>0</v>
      </c>
      <c r="B176" s="94"/>
      <c r="C176" t="s">
        <v>0</v>
      </c>
      <c r="D176" t="s">
        <v>128</v>
      </c>
      <c r="J176" s="96" t="str">
        <f t="shared" si="2"/>
        <v>"",</v>
      </c>
    </row>
    <row r="177" spans="1:10" x14ac:dyDescent="0.25">
      <c r="A177" t="s">
        <v>0</v>
      </c>
      <c r="B177" s="94"/>
      <c r="C177" t="s">
        <v>0</v>
      </c>
      <c r="D177" t="s">
        <v>128</v>
      </c>
      <c r="J177" s="96" t="str">
        <f t="shared" si="2"/>
        <v>"",</v>
      </c>
    </row>
    <row r="178" spans="1:10" x14ac:dyDescent="0.25">
      <c r="A178" t="s">
        <v>0</v>
      </c>
      <c r="B178" s="94"/>
      <c r="C178" t="s">
        <v>0</v>
      </c>
      <c r="D178" t="s">
        <v>128</v>
      </c>
      <c r="J178" s="96" t="str">
        <f t="shared" si="2"/>
        <v>"",</v>
      </c>
    </row>
    <row r="179" spans="1:10" x14ac:dyDescent="0.25">
      <c r="A179" t="s">
        <v>0</v>
      </c>
      <c r="B179" s="94"/>
      <c r="C179" t="s">
        <v>0</v>
      </c>
      <c r="D179" t="s">
        <v>128</v>
      </c>
      <c r="J179" s="96" t="str">
        <f t="shared" si="2"/>
        <v>"",</v>
      </c>
    </row>
    <row r="180" spans="1:10" x14ac:dyDescent="0.25">
      <c r="A180" t="s">
        <v>0</v>
      </c>
      <c r="B180" s="94"/>
      <c r="C180" t="s">
        <v>0</v>
      </c>
      <c r="D180" t="s">
        <v>128</v>
      </c>
      <c r="J180" s="96" t="str">
        <f t="shared" si="2"/>
        <v>"",</v>
      </c>
    </row>
    <row r="181" spans="1:10" x14ac:dyDescent="0.25">
      <c r="A181" t="s">
        <v>0</v>
      </c>
      <c r="B181" s="94"/>
      <c r="C181" t="s">
        <v>0</v>
      </c>
      <c r="D181" t="s">
        <v>128</v>
      </c>
      <c r="J181" s="96" t="str">
        <f t="shared" si="2"/>
        <v>"",</v>
      </c>
    </row>
    <row r="182" spans="1:10" x14ac:dyDescent="0.25">
      <c r="A182" t="s">
        <v>0</v>
      </c>
      <c r="B182" s="94"/>
      <c r="C182" t="s">
        <v>0</v>
      </c>
      <c r="D182" t="s">
        <v>128</v>
      </c>
      <c r="J182" s="96" t="str">
        <f t="shared" si="2"/>
        <v>"",</v>
      </c>
    </row>
    <row r="183" spans="1:10" x14ac:dyDescent="0.25">
      <c r="A183" t="s">
        <v>0</v>
      </c>
      <c r="B183" s="94"/>
      <c r="C183" t="s">
        <v>0</v>
      </c>
      <c r="D183" t="s">
        <v>128</v>
      </c>
      <c r="J183" s="96" t="str">
        <f t="shared" si="2"/>
        <v>"",</v>
      </c>
    </row>
    <row r="184" spans="1:10" x14ac:dyDescent="0.25">
      <c r="A184" t="s">
        <v>0</v>
      </c>
      <c r="B184" s="94"/>
      <c r="C184" t="s">
        <v>0</v>
      </c>
      <c r="D184" t="s">
        <v>128</v>
      </c>
      <c r="J184" s="96" t="str">
        <f t="shared" si="2"/>
        <v>"",</v>
      </c>
    </row>
    <row r="185" spans="1:10" x14ac:dyDescent="0.25">
      <c r="A185" t="s">
        <v>0</v>
      </c>
      <c r="B185" s="94"/>
      <c r="C185" t="s">
        <v>0</v>
      </c>
      <c r="D185" t="s">
        <v>128</v>
      </c>
      <c r="J185" s="96" t="str">
        <f t="shared" si="2"/>
        <v>"",</v>
      </c>
    </row>
    <row r="186" spans="1:10" x14ac:dyDescent="0.25">
      <c r="A186" t="s">
        <v>0</v>
      </c>
      <c r="B186" s="94"/>
      <c r="C186" t="s">
        <v>0</v>
      </c>
      <c r="D186" t="s">
        <v>128</v>
      </c>
      <c r="J186" s="96" t="str">
        <f t="shared" si="2"/>
        <v>"",</v>
      </c>
    </row>
    <row r="187" spans="1:10" x14ac:dyDescent="0.25">
      <c r="A187" t="s">
        <v>0</v>
      </c>
      <c r="B187" s="94"/>
      <c r="C187" t="s">
        <v>0</v>
      </c>
      <c r="D187" t="s">
        <v>128</v>
      </c>
      <c r="J187" s="96" t="str">
        <f t="shared" si="2"/>
        <v>"",</v>
      </c>
    </row>
    <row r="188" spans="1:10" x14ac:dyDescent="0.25">
      <c r="A188" t="s">
        <v>0</v>
      </c>
      <c r="B188" s="94"/>
      <c r="C188" t="s">
        <v>0</v>
      </c>
      <c r="D188" t="s">
        <v>128</v>
      </c>
      <c r="J188" s="96" t="str">
        <f t="shared" si="2"/>
        <v>"",</v>
      </c>
    </row>
    <row r="189" spans="1:10" x14ac:dyDescent="0.25">
      <c r="A189" t="s">
        <v>0</v>
      </c>
      <c r="B189" s="94"/>
      <c r="C189" t="s">
        <v>0</v>
      </c>
      <c r="D189" t="s">
        <v>128</v>
      </c>
      <c r="J189" s="96" t="str">
        <f t="shared" si="2"/>
        <v>"",</v>
      </c>
    </row>
    <row r="190" spans="1:10" x14ac:dyDescent="0.25">
      <c r="A190" t="s">
        <v>0</v>
      </c>
      <c r="B190" s="94"/>
      <c r="C190" t="s">
        <v>0</v>
      </c>
      <c r="D190" t="s">
        <v>128</v>
      </c>
      <c r="J190" s="96" t="str">
        <f t="shared" si="2"/>
        <v>"",</v>
      </c>
    </row>
    <row r="191" spans="1:10" x14ac:dyDescent="0.25">
      <c r="A191" t="s">
        <v>0</v>
      </c>
      <c r="B191" s="94"/>
      <c r="C191" t="s">
        <v>0</v>
      </c>
      <c r="D191" t="s">
        <v>128</v>
      </c>
      <c r="J191" s="96" t="str">
        <f t="shared" si="2"/>
        <v>"",</v>
      </c>
    </row>
    <row r="192" spans="1:10" x14ac:dyDescent="0.25">
      <c r="A192" t="s">
        <v>0</v>
      </c>
      <c r="B192" s="94"/>
      <c r="C192" t="s">
        <v>0</v>
      </c>
      <c r="D192" t="s">
        <v>128</v>
      </c>
      <c r="J192" s="96" t="str">
        <f t="shared" si="2"/>
        <v>"",</v>
      </c>
    </row>
    <row r="193" spans="1:10" x14ac:dyDescent="0.25">
      <c r="A193" t="s">
        <v>0</v>
      </c>
      <c r="B193" s="94"/>
      <c r="C193" t="s">
        <v>0</v>
      </c>
      <c r="D193" t="s">
        <v>128</v>
      </c>
      <c r="J193" s="96" t="str">
        <f t="shared" ref="J193:J256" si="3">A193&amp;B193&amp;C193&amp;D193&amp;E193&amp;F193&amp;G193&amp;H193&amp;I193</f>
        <v>"",</v>
      </c>
    </row>
    <row r="194" spans="1:10" x14ac:dyDescent="0.25">
      <c r="A194" t="s">
        <v>0</v>
      </c>
      <c r="B194" s="94"/>
      <c r="C194" t="s">
        <v>0</v>
      </c>
      <c r="D194" t="s">
        <v>128</v>
      </c>
      <c r="J194" s="96" t="str">
        <f t="shared" si="3"/>
        <v>"",</v>
      </c>
    </row>
    <row r="195" spans="1:10" x14ac:dyDescent="0.25">
      <c r="A195" t="s">
        <v>0</v>
      </c>
      <c r="B195" s="94"/>
      <c r="C195" t="s">
        <v>0</v>
      </c>
      <c r="D195" t="s">
        <v>128</v>
      </c>
      <c r="J195" s="96" t="str">
        <f t="shared" si="3"/>
        <v>"",</v>
      </c>
    </row>
    <row r="196" spans="1:10" x14ac:dyDescent="0.25">
      <c r="A196" t="s">
        <v>0</v>
      </c>
      <c r="B196" s="94"/>
      <c r="C196" t="s">
        <v>0</v>
      </c>
      <c r="D196" t="s">
        <v>128</v>
      </c>
      <c r="J196" s="96" t="str">
        <f t="shared" si="3"/>
        <v>"",</v>
      </c>
    </row>
    <row r="197" spans="1:10" x14ac:dyDescent="0.25">
      <c r="A197" t="s">
        <v>0</v>
      </c>
      <c r="B197" s="94"/>
      <c r="C197" t="s">
        <v>0</v>
      </c>
      <c r="D197" t="s">
        <v>128</v>
      </c>
      <c r="J197" s="96" t="str">
        <f t="shared" si="3"/>
        <v>"",</v>
      </c>
    </row>
    <row r="198" spans="1:10" x14ac:dyDescent="0.25">
      <c r="A198" t="s">
        <v>0</v>
      </c>
      <c r="B198" s="94"/>
      <c r="C198" t="s">
        <v>0</v>
      </c>
      <c r="D198" t="s">
        <v>128</v>
      </c>
      <c r="J198" s="96" t="str">
        <f t="shared" si="3"/>
        <v>"",</v>
      </c>
    </row>
    <row r="199" spans="1:10" x14ac:dyDescent="0.25">
      <c r="A199" t="s">
        <v>0</v>
      </c>
      <c r="B199" s="94"/>
      <c r="C199" t="s">
        <v>0</v>
      </c>
      <c r="D199" t="s">
        <v>128</v>
      </c>
      <c r="J199" s="96" t="str">
        <f t="shared" si="3"/>
        <v>"",</v>
      </c>
    </row>
    <row r="200" spans="1:10" x14ac:dyDescent="0.25">
      <c r="A200" t="s">
        <v>0</v>
      </c>
      <c r="B200" s="94"/>
      <c r="C200" t="s">
        <v>0</v>
      </c>
      <c r="D200" t="s">
        <v>128</v>
      </c>
      <c r="J200" s="96" t="str">
        <f t="shared" si="3"/>
        <v>"",</v>
      </c>
    </row>
    <row r="201" spans="1:10" x14ac:dyDescent="0.25">
      <c r="A201" t="s">
        <v>0</v>
      </c>
      <c r="B201" s="94"/>
      <c r="C201" t="s">
        <v>0</v>
      </c>
      <c r="D201" t="s">
        <v>128</v>
      </c>
      <c r="J201" s="96" t="str">
        <f t="shared" si="3"/>
        <v>"",</v>
      </c>
    </row>
    <row r="202" spans="1:10" x14ac:dyDescent="0.25">
      <c r="A202" t="s">
        <v>0</v>
      </c>
      <c r="B202" s="94"/>
      <c r="C202" t="s">
        <v>0</v>
      </c>
      <c r="D202" t="s">
        <v>128</v>
      </c>
      <c r="J202" s="96" t="str">
        <f t="shared" si="3"/>
        <v>"",</v>
      </c>
    </row>
    <row r="203" spans="1:10" x14ac:dyDescent="0.25">
      <c r="A203" t="s">
        <v>0</v>
      </c>
      <c r="B203" s="94"/>
      <c r="C203" t="s">
        <v>0</v>
      </c>
      <c r="D203" t="s">
        <v>128</v>
      </c>
      <c r="J203" s="96" t="str">
        <f t="shared" si="3"/>
        <v>"",</v>
      </c>
    </row>
    <row r="204" spans="1:10" x14ac:dyDescent="0.25">
      <c r="A204" t="s">
        <v>0</v>
      </c>
      <c r="B204" s="94"/>
      <c r="C204" t="s">
        <v>0</v>
      </c>
      <c r="D204" t="s">
        <v>128</v>
      </c>
      <c r="J204" s="96" t="str">
        <f t="shared" si="3"/>
        <v>"",</v>
      </c>
    </row>
    <row r="205" spans="1:10" x14ac:dyDescent="0.25">
      <c r="A205" t="s">
        <v>0</v>
      </c>
      <c r="B205" s="94"/>
      <c r="C205" t="s">
        <v>0</v>
      </c>
      <c r="D205" t="s">
        <v>128</v>
      </c>
      <c r="J205" s="96" t="str">
        <f t="shared" si="3"/>
        <v>"",</v>
      </c>
    </row>
    <row r="206" spans="1:10" x14ac:dyDescent="0.25">
      <c r="A206" t="s">
        <v>0</v>
      </c>
      <c r="B206" s="94"/>
      <c r="C206" t="s">
        <v>0</v>
      </c>
      <c r="D206" t="s">
        <v>128</v>
      </c>
      <c r="J206" s="96" t="str">
        <f t="shared" si="3"/>
        <v>"",</v>
      </c>
    </row>
    <row r="207" spans="1:10" x14ac:dyDescent="0.25">
      <c r="A207" t="s">
        <v>0</v>
      </c>
      <c r="B207" s="94"/>
      <c r="C207" t="s">
        <v>0</v>
      </c>
      <c r="D207" t="s">
        <v>128</v>
      </c>
      <c r="J207" s="96" t="str">
        <f t="shared" si="3"/>
        <v>"",</v>
      </c>
    </row>
    <row r="208" spans="1:10" x14ac:dyDescent="0.25">
      <c r="A208" t="s">
        <v>0</v>
      </c>
      <c r="B208" s="94"/>
      <c r="C208" t="s">
        <v>0</v>
      </c>
      <c r="D208" t="s">
        <v>128</v>
      </c>
      <c r="J208" s="96" t="str">
        <f t="shared" si="3"/>
        <v>"",</v>
      </c>
    </row>
    <row r="209" spans="1:10" x14ac:dyDescent="0.25">
      <c r="A209" t="s">
        <v>0</v>
      </c>
      <c r="B209" s="94"/>
      <c r="C209" t="s">
        <v>0</v>
      </c>
      <c r="D209" t="s">
        <v>128</v>
      </c>
      <c r="J209" s="96" t="str">
        <f t="shared" si="3"/>
        <v>"",</v>
      </c>
    </row>
    <row r="210" spans="1:10" x14ac:dyDescent="0.25">
      <c r="A210" t="s">
        <v>0</v>
      </c>
      <c r="B210" s="94"/>
      <c r="C210" t="s">
        <v>0</v>
      </c>
      <c r="D210" t="s">
        <v>128</v>
      </c>
      <c r="J210" s="96" t="str">
        <f t="shared" si="3"/>
        <v>"",</v>
      </c>
    </row>
    <row r="211" spans="1:10" x14ac:dyDescent="0.25">
      <c r="A211" t="s">
        <v>0</v>
      </c>
      <c r="B211" s="94"/>
      <c r="C211" t="s">
        <v>0</v>
      </c>
      <c r="D211" t="s">
        <v>128</v>
      </c>
      <c r="J211" s="96" t="str">
        <f t="shared" si="3"/>
        <v>"",</v>
      </c>
    </row>
    <row r="212" spans="1:10" x14ac:dyDescent="0.25">
      <c r="A212" t="s">
        <v>0</v>
      </c>
      <c r="B212" s="94"/>
      <c r="C212" t="s">
        <v>0</v>
      </c>
      <c r="D212" t="s">
        <v>128</v>
      </c>
      <c r="J212" s="96" t="str">
        <f t="shared" si="3"/>
        <v>"",</v>
      </c>
    </row>
    <row r="213" spans="1:10" x14ac:dyDescent="0.25">
      <c r="A213" t="s">
        <v>0</v>
      </c>
      <c r="B213" s="94"/>
      <c r="C213" t="s">
        <v>0</v>
      </c>
      <c r="D213" t="s">
        <v>128</v>
      </c>
      <c r="J213" s="96" t="str">
        <f t="shared" si="3"/>
        <v>"",</v>
      </c>
    </row>
    <row r="214" spans="1:10" x14ac:dyDescent="0.25">
      <c r="A214" t="s">
        <v>0</v>
      </c>
      <c r="B214" s="94"/>
      <c r="C214" t="s">
        <v>0</v>
      </c>
      <c r="D214" t="s">
        <v>128</v>
      </c>
      <c r="J214" s="96" t="str">
        <f t="shared" si="3"/>
        <v>"",</v>
      </c>
    </row>
    <row r="215" spans="1:10" x14ac:dyDescent="0.25">
      <c r="A215" t="s">
        <v>0</v>
      </c>
      <c r="B215" s="94"/>
      <c r="C215" t="s">
        <v>0</v>
      </c>
      <c r="D215" t="s">
        <v>128</v>
      </c>
      <c r="J215" s="96" t="str">
        <f t="shared" si="3"/>
        <v>"",</v>
      </c>
    </row>
    <row r="216" spans="1:10" x14ac:dyDescent="0.25">
      <c r="A216" t="s">
        <v>0</v>
      </c>
      <c r="B216" s="94"/>
      <c r="C216" t="s">
        <v>0</v>
      </c>
      <c r="D216" t="s">
        <v>128</v>
      </c>
      <c r="J216" s="96" t="str">
        <f t="shared" si="3"/>
        <v>"",</v>
      </c>
    </row>
    <row r="217" spans="1:10" x14ac:dyDescent="0.25">
      <c r="A217" t="s">
        <v>0</v>
      </c>
      <c r="B217" s="94"/>
      <c r="C217" t="s">
        <v>0</v>
      </c>
      <c r="D217" t="s">
        <v>128</v>
      </c>
      <c r="J217" s="96" t="str">
        <f t="shared" si="3"/>
        <v>"",</v>
      </c>
    </row>
    <row r="218" spans="1:10" x14ac:dyDescent="0.25">
      <c r="A218" t="s">
        <v>0</v>
      </c>
      <c r="B218" s="94"/>
      <c r="C218" t="s">
        <v>0</v>
      </c>
      <c r="D218" t="s">
        <v>128</v>
      </c>
      <c r="J218" s="96" t="str">
        <f t="shared" si="3"/>
        <v>"",</v>
      </c>
    </row>
    <row r="219" spans="1:10" x14ac:dyDescent="0.25">
      <c r="A219" t="s">
        <v>0</v>
      </c>
      <c r="B219" s="94"/>
      <c r="C219" t="s">
        <v>0</v>
      </c>
      <c r="D219" t="s">
        <v>128</v>
      </c>
      <c r="J219" s="96" t="str">
        <f t="shared" si="3"/>
        <v>"",</v>
      </c>
    </row>
    <row r="220" spans="1:10" x14ac:dyDescent="0.25">
      <c r="A220" t="s">
        <v>0</v>
      </c>
      <c r="B220" s="94"/>
      <c r="C220" t="s">
        <v>0</v>
      </c>
      <c r="D220" t="s">
        <v>128</v>
      </c>
      <c r="J220" s="96" t="str">
        <f t="shared" si="3"/>
        <v>"",</v>
      </c>
    </row>
    <row r="221" spans="1:10" x14ac:dyDescent="0.25">
      <c r="A221" t="s">
        <v>0</v>
      </c>
      <c r="B221" s="94"/>
      <c r="C221" t="s">
        <v>0</v>
      </c>
      <c r="D221" t="s">
        <v>128</v>
      </c>
      <c r="J221" s="96" t="str">
        <f t="shared" si="3"/>
        <v>"",</v>
      </c>
    </row>
    <row r="222" spans="1:10" x14ac:dyDescent="0.25">
      <c r="A222" t="s">
        <v>0</v>
      </c>
      <c r="B222" s="94"/>
      <c r="C222" t="s">
        <v>0</v>
      </c>
      <c r="D222" t="s">
        <v>128</v>
      </c>
      <c r="J222" s="96" t="str">
        <f t="shared" si="3"/>
        <v>"",</v>
      </c>
    </row>
    <row r="223" spans="1:10" x14ac:dyDescent="0.25">
      <c r="A223" t="s">
        <v>0</v>
      </c>
      <c r="B223" s="94"/>
      <c r="C223" t="s">
        <v>0</v>
      </c>
      <c r="D223" t="s">
        <v>128</v>
      </c>
      <c r="J223" s="96" t="str">
        <f t="shared" si="3"/>
        <v>"",</v>
      </c>
    </row>
    <row r="224" spans="1:10" x14ac:dyDescent="0.25">
      <c r="A224" t="s">
        <v>0</v>
      </c>
      <c r="B224" s="94"/>
      <c r="C224" t="s">
        <v>0</v>
      </c>
      <c r="D224" t="s">
        <v>128</v>
      </c>
      <c r="J224" s="96" t="str">
        <f t="shared" si="3"/>
        <v>"",</v>
      </c>
    </row>
    <row r="225" spans="1:10" x14ac:dyDescent="0.25">
      <c r="A225" t="s">
        <v>0</v>
      </c>
      <c r="B225" s="94"/>
      <c r="C225" t="s">
        <v>0</v>
      </c>
      <c r="D225" t="s">
        <v>128</v>
      </c>
      <c r="J225" s="96" t="str">
        <f t="shared" si="3"/>
        <v>"",</v>
      </c>
    </row>
    <row r="226" spans="1:10" x14ac:dyDescent="0.25">
      <c r="A226" t="s">
        <v>0</v>
      </c>
      <c r="B226" s="94"/>
      <c r="C226" t="s">
        <v>0</v>
      </c>
      <c r="D226" t="s">
        <v>128</v>
      </c>
      <c r="J226" s="96" t="str">
        <f t="shared" si="3"/>
        <v>"",</v>
      </c>
    </row>
    <row r="227" spans="1:10" x14ac:dyDescent="0.25">
      <c r="A227" t="s">
        <v>0</v>
      </c>
      <c r="B227" s="94"/>
      <c r="C227" t="s">
        <v>0</v>
      </c>
      <c r="D227" t="s">
        <v>128</v>
      </c>
      <c r="J227" s="96" t="str">
        <f t="shared" si="3"/>
        <v>"",</v>
      </c>
    </row>
    <row r="228" spans="1:10" x14ac:dyDescent="0.25">
      <c r="A228" t="s">
        <v>0</v>
      </c>
      <c r="B228" s="94"/>
      <c r="C228" t="s">
        <v>0</v>
      </c>
      <c r="D228" t="s">
        <v>128</v>
      </c>
      <c r="J228" s="96" t="str">
        <f t="shared" si="3"/>
        <v>"",</v>
      </c>
    </row>
    <row r="229" spans="1:10" x14ac:dyDescent="0.25">
      <c r="A229" t="s">
        <v>0</v>
      </c>
      <c r="B229" s="94"/>
      <c r="C229" t="s">
        <v>0</v>
      </c>
      <c r="D229" t="s">
        <v>128</v>
      </c>
      <c r="J229" s="96" t="str">
        <f t="shared" si="3"/>
        <v>"",</v>
      </c>
    </row>
    <row r="230" spans="1:10" x14ac:dyDescent="0.25">
      <c r="A230" t="s">
        <v>0</v>
      </c>
      <c r="B230" s="94"/>
      <c r="C230" t="s">
        <v>0</v>
      </c>
      <c r="D230" t="s">
        <v>128</v>
      </c>
      <c r="J230" s="96" t="str">
        <f t="shared" si="3"/>
        <v>"",</v>
      </c>
    </row>
    <row r="231" spans="1:10" x14ac:dyDescent="0.25">
      <c r="A231" t="s">
        <v>0</v>
      </c>
      <c r="B231" s="94"/>
      <c r="C231" t="s">
        <v>0</v>
      </c>
      <c r="D231" t="s">
        <v>128</v>
      </c>
      <c r="J231" s="96" t="str">
        <f t="shared" si="3"/>
        <v>"",</v>
      </c>
    </row>
    <row r="232" spans="1:10" x14ac:dyDescent="0.25">
      <c r="A232" t="s">
        <v>0</v>
      </c>
      <c r="B232" s="94"/>
      <c r="C232" t="s">
        <v>0</v>
      </c>
      <c r="D232" t="s">
        <v>128</v>
      </c>
      <c r="J232" s="96" t="str">
        <f t="shared" si="3"/>
        <v>"",</v>
      </c>
    </row>
    <row r="233" spans="1:10" x14ac:dyDescent="0.25">
      <c r="A233" t="s">
        <v>0</v>
      </c>
      <c r="B233" s="94"/>
      <c r="C233" t="s">
        <v>0</v>
      </c>
      <c r="D233" t="s">
        <v>128</v>
      </c>
      <c r="J233" s="96" t="str">
        <f t="shared" si="3"/>
        <v>"",</v>
      </c>
    </row>
    <row r="234" spans="1:10" x14ac:dyDescent="0.25">
      <c r="A234" t="s">
        <v>0</v>
      </c>
      <c r="B234" s="94"/>
      <c r="C234" t="s">
        <v>0</v>
      </c>
      <c r="D234" t="s">
        <v>128</v>
      </c>
      <c r="J234" s="96" t="str">
        <f t="shared" si="3"/>
        <v>"",</v>
      </c>
    </row>
    <row r="235" spans="1:10" x14ac:dyDescent="0.25">
      <c r="A235" t="s">
        <v>0</v>
      </c>
      <c r="B235" s="94"/>
      <c r="C235" t="s">
        <v>0</v>
      </c>
      <c r="D235" t="s">
        <v>128</v>
      </c>
      <c r="J235" s="96" t="str">
        <f t="shared" si="3"/>
        <v>"",</v>
      </c>
    </row>
    <row r="236" spans="1:10" x14ac:dyDescent="0.25">
      <c r="A236" t="s">
        <v>0</v>
      </c>
      <c r="B236" s="94"/>
      <c r="C236" t="s">
        <v>0</v>
      </c>
      <c r="D236" t="s">
        <v>128</v>
      </c>
      <c r="J236" s="96" t="str">
        <f t="shared" si="3"/>
        <v>"",</v>
      </c>
    </row>
    <row r="237" spans="1:10" x14ac:dyDescent="0.25">
      <c r="A237" t="s">
        <v>0</v>
      </c>
      <c r="B237" s="94"/>
      <c r="C237" t="s">
        <v>0</v>
      </c>
      <c r="D237" t="s">
        <v>128</v>
      </c>
      <c r="J237" s="96" t="str">
        <f t="shared" si="3"/>
        <v>"",</v>
      </c>
    </row>
    <row r="238" spans="1:10" x14ac:dyDescent="0.25">
      <c r="A238" t="s">
        <v>0</v>
      </c>
      <c r="B238" s="94"/>
      <c r="C238" t="s">
        <v>0</v>
      </c>
      <c r="D238" t="s">
        <v>128</v>
      </c>
      <c r="J238" s="96" t="str">
        <f t="shared" si="3"/>
        <v>"",</v>
      </c>
    </row>
    <row r="239" spans="1:10" x14ac:dyDescent="0.25">
      <c r="A239" t="s">
        <v>0</v>
      </c>
      <c r="B239" s="94"/>
      <c r="C239" t="s">
        <v>0</v>
      </c>
      <c r="D239" t="s">
        <v>128</v>
      </c>
      <c r="J239" s="96" t="str">
        <f t="shared" si="3"/>
        <v>"",</v>
      </c>
    </row>
    <row r="240" spans="1:10" x14ac:dyDescent="0.25">
      <c r="A240" t="s">
        <v>0</v>
      </c>
      <c r="B240" s="94"/>
      <c r="C240" t="s">
        <v>0</v>
      </c>
      <c r="D240" t="s">
        <v>128</v>
      </c>
      <c r="J240" s="96" t="str">
        <f t="shared" si="3"/>
        <v>"",</v>
      </c>
    </row>
    <row r="241" spans="1:10" x14ac:dyDescent="0.25">
      <c r="A241" t="s">
        <v>0</v>
      </c>
      <c r="B241" s="94"/>
      <c r="C241" t="s">
        <v>0</v>
      </c>
      <c r="D241" t="s">
        <v>128</v>
      </c>
      <c r="J241" s="96" t="str">
        <f t="shared" si="3"/>
        <v>"",</v>
      </c>
    </row>
    <row r="242" spans="1:10" x14ac:dyDescent="0.25">
      <c r="A242" t="s">
        <v>0</v>
      </c>
      <c r="B242" s="94"/>
      <c r="C242" t="s">
        <v>0</v>
      </c>
      <c r="D242" t="s">
        <v>128</v>
      </c>
      <c r="J242" s="96" t="str">
        <f t="shared" si="3"/>
        <v>"",</v>
      </c>
    </row>
    <row r="243" spans="1:10" x14ac:dyDescent="0.25">
      <c r="A243" t="s">
        <v>0</v>
      </c>
      <c r="B243" s="94"/>
      <c r="C243" t="s">
        <v>0</v>
      </c>
      <c r="D243" t="s">
        <v>128</v>
      </c>
      <c r="J243" s="96" t="str">
        <f t="shared" si="3"/>
        <v>"",</v>
      </c>
    </row>
    <row r="244" spans="1:10" x14ac:dyDescent="0.25">
      <c r="A244" t="s">
        <v>0</v>
      </c>
      <c r="B244" s="94"/>
      <c r="C244" t="s">
        <v>0</v>
      </c>
      <c r="D244" t="s">
        <v>128</v>
      </c>
      <c r="J244" s="96" t="str">
        <f t="shared" si="3"/>
        <v>"",</v>
      </c>
    </row>
    <row r="245" spans="1:10" x14ac:dyDescent="0.25">
      <c r="A245" t="s">
        <v>0</v>
      </c>
      <c r="B245" s="94"/>
      <c r="C245" t="s">
        <v>0</v>
      </c>
      <c r="D245" t="s">
        <v>128</v>
      </c>
      <c r="J245" s="96" t="str">
        <f t="shared" si="3"/>
        <v>"",</v>
      </c>
    </row>
    <row r="246" spans="1:10" x14ac:dyDescent="0.25">
      <c r="A246" t="s">
        <v>0</v>
      </c>
      <c r="B246" s="94"/>
      <c r="C246" t="s">
        <v>0</v>
      </c>
      <c r="D246" t="s">
        <v>128</v>
      </c>
      <c r="J246" s="96" t="str">
        <f t="shared" si="3"/>
        <v>"",</v>
      </c>
    </row>
    <row r="247" spans="1:10" x14ac:dyDescent="0.25">
      <c r="A247" t="s">
        <v>0</v>
      </c>
      <c r="B247" s="94"/>
      <c r="C247" t="s">
        <v>0</v>
      </c>
      <c r="D247" t="s">
        <v>128</v>
      </c>
      <c r="J247" s="96" t="str">
        <f t="shared" si="3"/>
        <v>"",</v>
      </c>
    </row>
    <row r="248" spans="1:10" x14ac:dyDescent="0.25">
      <c r="A248" t="s">
        <v>0</v>
      </c>
      <c r="B248" s="94"/>
      <c r="C248" t="s">
        <v>0</v>
      </c>
      <c r="D248" t="s">
        <v>128</v>
      </c>
      <c r="J248" s="96" t="str">
        <f t="shared" si="3"/>
        <v>"",</v>
      </c>
    </row>
    <row r="249" spans="1:10" x14ac:dyDescent="0.25">
      <c r="A249" t="s">
        <v>0</v>
      </c>
      <c r="B249" s="94"/>
      <c r="C249" t="s">
        <v>0</v>
      </c>
      <c r="D249" t="s">
        <v>128</v>
      </c>
      <c r="J249" s="96" t="str">
        <f t="shared" si="3"/>
        <v>"",</v>
      </c>
    </row>
    <row r="250" spans="1:10" x14ac:dyDescent="0.25">
      <c r="A250" t="s">
        <v>0</v>
      </c>
      <c r="B250" s="94"/>
      <c r="C250" t="s">
        <v>0</v>
      </c>
      <c r="D250" t="s">
        <v>128</v>
      </c>
      <c r="J250" s="96" t="str">
        <f t="shared" si="3"/>
        <v>"",</v>
      </c>
    </row>
    <row r="251" spans="1:10" x14ac:dyDescent="0.25">
      <c r="A251" t="s">
        <v>0</v>
      </c>
      <c r="B251" s="94"/>
      <c r="C251" t="s">
        <v>0</v>
      </c>
      <c r="D251" t="s">
        <v>128</v>
      </c>
      <c r="J251" s="96" t="str">
        <f t="shared" si="3"/>
        <v>"",</v>
      </c>
    </row>
    <row r="252" spans="1:10" x14ac:dyDescent="0.25">
      <c r="A252" t="s">
        <v>0</v>
      </c>
      <c r="B252" s="94"/>
      <c r="C252" t="s">
        <v>0</v>
      </c>
      <c r="D252" t="s">
        <v>128</v>
      </c>
      <c r="J252" s="96" t="str">
        <f t="shared" si="3"/>
        <v>"",</v>
      </c>
    </row>
    <row r="253" spans="1:10" x14ac:dyDescent="0.25">
      <c r="A253" t="s">
        <v>0</v>
      </c>
      <c r="B253" s="94"/>
      <c r="C253" t="s">
        <v>0</v>
      </c>
      <c r="D253" t="s">
        <v>128</v>
      </c>
      <c r="J253" s="96" t="str">
        <f t="shared" si="3"/>
        <v>"",</v>
      </c>
    </row>
    <row r="254" spans="1:10" x14ac:dyDescent="0.25">
      <c r="A254" t="s">
        <v>0</v>
      </c>
      <c r="B254" s="94"/>
      <c r="C254" t="s">
        <v>0</v>
      </c>
      <c r="D254" t="s">
        <v>128</v>
      </c>
      <c r="J254" s="96" t="str">
        <f t="shared" si="3"/>
        <v>"",</v>
      </c>
    </row>
    <row r="255" spans="1:10" x14ac:dyDescent="0.25">
      <c r="A255" t="s">
        <v>0</v>
      </c>
      <c r="B255" s="94"/>
      <c r="C255" t="s">
        <v>0</v>
      </c>
      <c r="D255" t="s">
        <v>128</v>
      </c>
      <c r="J255" s="96" t="str">
        <f t="shared" si="3"/>
        <v>"",</v>
      </c>
    </row>
    <row r="256" spans="1:10" x14ac:dyDescent="0.25">
      <c r="A256" t="s">
        <v>0</v>
      </c>
      <c r="B256" s="94"/>
      <c r="C256" t="s">
        <v>0</v>
      </c>
      <c r="D256" t="s">
        <v>128</v>
      </c>
      <c r="J256" s="96" t="str">
        <f t="shared" si="3"/>
        <v>"",</v>
      </c>
    </row>
    <row r="257" spans="1:10" x14ac:dyDescent="0.25">
      <c r="A257" t="s">
        <v>0</v>
      </c>
      <c r="B257" s="94"/>
      <c r="C257" t="s">
        <v>0</v>
      </c>
      <c r="D257" t="s">
        <v>128</v>
      </c>
      <c r="J257" s="96" t="str">
        <f t="shared" ref="J257:J320" si="4">A257&amp;B257&amp;C257&amp;D257&amp;E257&amp;F257&amp;G257&amp;H257&amp;I257</f>
        <v>"",</v>
      </c>
    </row>
    <row r="258" spans="1:10" x14ac:dyDescent="0.25">
      <c r="A258" t="s">
        <v>0</v>
      </c>
      <c r="B258" s="94"/>
      <c r="C258" t="s">
        <v>0</v>
      </c>
      <c r="D258" t="s">
        <v>128</v>
      </c>
      <c r="J258" s="96" t="str">
        <f t="shared" si="4"/>
        <v>"",</v>
      </c>
    </row>
    <row r="259" spans="1:10" x14ac:dyDescent="0.25">
      <c r="A259" t="s">
        <v>0</v>
      </c>
      <c r="B259" s="94"/>
      <c r="C259" t="s">
        <v>0</v>
      </c>
      <c r="D259" t="s">
        <v>128</v>
      </c>
      <c r="J259" s="96" t="str">
        <f t="shared" si="4"/>
        <v>"",</v>
      </c>
    </row>
    <row r="260" spans="1:10" x14ac:dyDescent="0.25">
      <c r="A260" t="s">
        <v>0</v>
      </c>
      <c r="B260" s="94"/>
      <c r="C260" t="s">
        <v>0</v>
      </c>
      <c r="D260" t="s">
        <v>128</v>
      </c>
      <c r="J260" s="96" t="str">
        <f t="shared" si="4"/>
        <v>"",</v>
      </c>
    </row>
    <row r="261" spans="1:10" x14ac:dyDescent="0.25">
      <c r="A261" t="s">
        <v>0</v>
      </c>
      <c r="B261" s="94"/>
      <c r="C261" t="s">
        <v>0</v>
      </c>
      <c r="D261" t="s">
        <v>128</v>
      </c>
      <c r="J261" s="96" t="str">
        <f t="shared" si="4"/>
        <v>"",</v>
      </c>
    </row>
    <row r="262" spans="1:10" x14ac:dyDescent="0.25">
      <c r="A262" t="s">
        <v>0</v>
      </c>
      <c r="B262" s="94"/>
      <c r="C262" t="s">
        <v>0</v>
      </c>
      <c r="D262" t="s">
        <v>128</v>
      </c>
      <c r="J262" s="96" t="str">
        <f t="shared" si="4"/>
        <v>"",</v>
      </c>
    </row>
    <row r="263" spans="1:10" x14ac:dyDescent="0.25">
      <c r="A263" t="s">
        <v>0</v>
      </c>
      <c r="B263" s="94"/>
      <c r="C263" t="s">
        <v>0</v>
      </c>
      <c r="D263" t="s">
        <v>128</v>
      </c>
      <c r="J263" s="96" t="str">
        <f t="shared" si="4"/>
        <v>"",</v>
      </c>
    </row>
    <row r="264" spans="1:10" x14ac:dyDescent="0.25">
      <c r="A264" t="s">
        <v>0</v>
      </c>
      <c r="B264" s="94"/>
      <c r="C264" t="s">
        <v>0</v>
      </c>
      <c r="D264" t="s">
        <v>128</v>
      </c>
      <c r="J264" s="96" t="str">
        <f t="shared" si="4"/>
        <v>"",</v>
      </c>
    </row>
    <row r="265" spans="1:10" x14ac:dyDescent="0.25">
      <c r="A265" t="s">
        <v>0</v>
      </c>
      <c r="B265" s="94"/>
      <c r="C265" t="s">
        <v>0</v>
      </c>
      <c r="D265" t="s">
        <v>128</v>
      </c>
      <c r="J265" s="96" t="str">
        <f t="shared" si="4"/>
        <v>"",</v>
      </c>
    </row>
    <row r="266" spans="1:10" x14ac:dyDescent="0.25">
      <c r="A266" t="s">
        <v>0</v>
      </c>
      <c r="B266" s="94"/>
      <c r="C266" t="s">
        <v>0</v>
      </c>
      <c r="D266" t="s">
        <v>128</v>
      </c>
      <c r="J266" s="96" t="str">
        <f t="shared" si="4"/>
        <v>"",</v>
      </c>
    </row>
    <row r="267" spans="1:10" x14ac:dyDescent="0.25">
      <c r="A267" t="s">
        <v>0</v>
      </c>
      <c r="B267" s="94"/>
      <c r="C267" t="s">
        <v>0</v>
      </c>
      <c r="D267" t="s">
        <v>128</v>
      </c>
      <c r="J267" s="96" t="str">
        <f t="shared" si="4"/>
        <v>"",</v>
      </c>
    </row>
    <row r="268" spans="1:10" x14ac:dyDescent="0.25">
      <c r="A268" t="s">
        <v>0</v>
      </c>
      <c r="B268" s="94"/>
      <c r="C268" t="s">
        <v>0</v>
      </c>
      <c r="D268" t="s">
        <v>128</v>
      </c>
      <c r="J268" s="96" t="str">
        <f t="shared" si="4"/>
        <v>"",</v>
      </c>
    </row>
    <row r="269" spans="1:10" x14ac:dyDescent="0.25">
      <c r="A269" t="s">
        <v>0</v>
      </c>
      <c r="B269" s="94"/>
      <c r="C269" t="s">
        <v>0</v>
      </c>
      <c r="D269" t="s">
        <v>128</v>
      </c>
      <c r="J269" s="96" t="str">
        <f t="shared" si="4"/>
        <v>"",</v>
      </c>
    </row>
    <row r="270" spans="1:10" x14ac:dyDescent="0.25">
      <c r="A270" t="s">
        <v>0</v>
      </c>
      <c r="B270" s="94"/>
      <c r="C270" t="s">
        <v>0</v>
      </c>
      <c r="D270" t="s">
        <v>128</v>
      </c>
      <c r="J270" s="96" t="str">
        <f t="shared" si="4"/>
        <v>"",</v>
      </c>
    </row>
    <row r="271" spans="1:10" x14ac:dyDescent="0.25">
      <c r="A271" t="s">
        <v>0</v>
      </c>
      <c r="B271" s="94"/>
      <c r="C271" t="s">
        <v>0</v>
      </c>
      <c r="D271" t="s">
        <v>128</v>
      </c>
      <c r="J271" s="96" t="str">
        <f t="shared" si="4"/>
        <v>"",</v>
      </c>
    </row>
    <row r="272" spans="1:10" x14ac:dyDescent="0.25">
      <c r="A272" t="s">
        <v>0</v>
      </c>
      <c r="B272" s="94"/>
      <c r="C272" t="s">
        <v>0</v>
      </c>
      <c r="D272" t="s">
        <v>128</v>
      </c>
      <c r="J272" s="96" t="str">
        <f t="shared" si="4"/>
        <v>"",</v>
      </c>
    </row>
    <row r="273" spans="1:10" x14ac:dyDescent="0.25">
      <c r="A273" t="s">
        <v>0</v>
      </c>
      <c r="B273" s="94"/>
      <c r="C273" t="s">
        <v>0</v>
      </c>
      <c r="D273" t="s">
        <v>128</v>
      </c>
      <c r="J273" s="96" t="str">
        <f t="shared" si="4"/>
        <v>"",</v>
      </c>
    </row>
    <row r="274" spans="1:10" x14ac:dyDescent="0.25">
      <c r="A274" t="s">
        <v>0</v>
      </c>
      <c r="B274" s="94"/>
      <c r="C274" t="s">
        <v>0</v>
      </c>
      <c r="D274" t="s">
        <v>128</v>
      </c>
      <c r="J274" s="96" t="str">
        <f t="shared" si="4"/>
        <v>"",</v>
      </c>
    </row>
    <row r="275" spans="1:10" x14ac:dyDescent="0.25">
      <c r="A275" t="s">
        <v>0</v>
      </c>
      <c r="B275" s="94"/>
      <c r="C275" t="s">
        <v>0</v>
      </c>
      <c r="D275" t="s">
        <v>128</v>
      </c>
      <c r="J275" s="96" t="str">
        <f t="shared" si="4"/>
        <v>"",</v>
      </c>
    </row>
    <row r="276" spans="1:10" x14ac:dyDescent="0.25">
      <c r="A276" t="s">
        <v>0</v>
      </c>
      <c r="B276" s="94"/>
      <c r="C276" t="s">
        <v>0</v>
      </c>
      <c r="D276" t="s">
        <v>128</v>
      </c>
      <c r="J276" s="96" t="str">
        <f t="shared" si="4"/>
        <v>"",</v>
      </c>
    </row>
    <row r="277" spans="1:10" x14ac:dyDescent="0.25">
      <c r="A277" t="s">
        <v>0</v>
      </c>
      <c r="B277" s="94"/>
      <c r="C277" t="s">
        <v>0</v>
      </c>
      <c r="D277" t="s">
        <v>128</v>
      </c>
      <c r="J277" s="96" t="str">
        <f t="shared" si="4"/>
        <v>"",</v>
      </c>
    </row>
    <row r="278" spans="1:10" x14ac:dyDescent="0.25">
      <c r="A278" t="s">
        <v>0</v>
      </c>
      <c r="B278" s="94"/>
      <c r="C278" t="s">
        <v>0</v>
      </c>
      <c r="D278" t="s">
        <v>128</v>
      </c>
      <c r="J278" s="96" t="str">
        <f t="shared" si="4"/>
        <v>"",</v>
      </c>
    </row>
    <row r="279" spans="1:10" x14ac:dyDescent="0.25">
      <c r="A279" t="s">
        <v>0</v>
      </c>
      <c r="B279" s="94"/>
      <c r="C279" t="s">
        <v>0</v>
      </c>
      <c r="D279" t="s">
        <v>128</v>
      </c>
      <c r="J279" s="96" t="str">
        <f t="shared" si="4"/>
        <v>"",</v>
      </c>
    </row>
    <row r="280" spans="1:10" x14ac:dyDescent="0.25">
      <c r="A280" t="s">
        <v>0</v>
      </c>
      <c r="B280" s="94"/>
      <c r="C280" t="s">
        <v>0</v>
      </c>
      <c r="D280" t="s">
        <v>128</v>
      </c>
      <c r="J280" s="96" t="str">
        <f t="shared" si="4"/>
        <v>"",</v>
      </c>
    </row>
    <row r="281" spans="1:10" x14ac:dyDescent="0.25">
      <c r="A281" t="s">
        <v>0</v>
      </c>
      <c r="B281" s="94"/>
      <c r="C281" t="s">
        <v>0</v>
      </c>
      <c r="D281" t="s">
        <v>128</v>
      </c>
      <c r="J281" s="96" t="str">
        <f t="shared" si="4"/>
        <v>"",</v>
      </c>
    </row>
    <row r="282" spans="1:10" x14ac:dyDescent="0.25">
      <c r="A282" t="s">
        <v>0</v>
      </c>
      <c r="B282" s="94"/>
      <c r="C282" t="s">
        <v>0</v>
      </c>
      <c r="D282" t="s">
        <v>128</v>
      </c>
      <c r="J282" s="96" t="str">
        <f t="shared" si="4"/>
        <v>"",</v>
      </c>
    </row>
    <row r="283" spans="1:10" x14ac:dyDescent="0.25">
      <c r="A283" t="s">
        <v>0</v>
      </c>
      <c r="B283" s="94"/>
      <c r="C283" t="s">
        <v>0</v>
      </c>
      <c r="D283" t="s">
        <v>128</v>
      </c>
      <c r="J283" s="96" t="str">
        <f t="shared" si="4"/>
        <v>"",</v>
      </c>
    </row>
    <row r="284" spans="1:10" x14ac:dyDescent="0.25">
      <c r="A284" t="s">
        <v>0</v>
      </c>
      <c r="B284" s="94"/>
      <c r="C284" t="s">
        <v>0</v>
      </c>
      <c r="D284" t="s">
        <v>128</v>
      </c>
      <c r="J284" s="96" t="str">
        <f t="shared" si="4"/>
        <v>"",</v>
      </c>
    </row>
    <row r="285" spans="1:10" x14ac:dyDescent="0.25">
      <c r="A285" t="s">
        <v>0</v>
      </c>
      <c r="B285" s="94"/>
      <c r="C285" t="s">
        <v>0</v>
      </c>
      <c r="D285" t="s">
        <v>128</v>
      </c>
      <c r="J285" s="96" t="str">
        <f t="shared" si="4"/>
        <v>"",</v>
      </c>
    </row>
    <row r="286" spans="1:10" x14ac:dyDescent="0.25">
      <c r="A286" t="s">
        <v>0</v>
      </c>
      <c r="B286" s="94"/>
      <c r="C286" t="s">
        <v>0</v>
      </c>
      <c r="D286" t="s">
        <v>128</v>
      </c>
      <c r="J286" s="96" t="str">
        <f t="shared" si="4"/>
        <v>"",</v>
      </c>
    </row>
    <row r="287" spans="1:10" x14ac:dyDescent="0.25">
      <c r="A287" t="s">
        <v>0</v>
      </c>
      <c r="B287" s="94"/>
      <c r="C287" t="s">
        <v>0</v>
      </c>
      <c r="D287" t="s">
        <v>128</v>
      </c>
      <c r="J287" s="96" t="str">
        <f t="shared" si="4"/>
        <v>"",</v>
      </c>
    </row>
    <row r="288" spans="1:10" x14ac:dyDescent="0.25">
      <c r="A288" t="s">
        <v>0</v>
      </c>
      <c r="B288" s="94"/>
      <c r="C288" t="s">
        <v>0</v>
      </c>
      <c r="D288" t="s">
        <v>128</v>
      </c>
      <c r="J288" s="96" t="str">
        <f t="shared" si="4"/>
        <v>"",</v>
      </c>
    </row>
    <row r="289" spans="1:10" x14ac:dyDescent="0.25">
      <c r="A289" t="s">
        <v>0</v>
      </c>
      <c r="B289" s="94"/>
      <c r="C289" t="s">
        <v>0</v>
      </c>
      <c r="D289" t="s">
        <v>128</v>
      </c>
      <c r="J289" s="96" t="str">
        <f t="shared" si="4"/>
        <v>"",</v>
      </c>
    </row>
    <row r="290" spans="1:10" x14ac:dyDescent="0.25">
      <c r="A290" t="s">
        <v>0</v>
      </c>
      <c r="B290" s="94"/>
      <c r="C290" t="s">
        <v>0</v>
      </c>
      <c r="D290" t="s">
        <v>128</v>
      </c>
      <c r="J290" s="96" t="str">
        <f t="shared" si="4"/>
        <v>"",</v>
      </c>
    </row>
    <row r="291" spans="1:10" x14ac:dyDescent="0.25">
      <c r="A291" t="s">
        <v>0</v>
      </c>
      <c r="B291" s="94"/>
      <c r="C291" t="s">
        <v>0</v>
      </c>
      <c r="D291" t="s">
        <v>128</v>
      </c>
      <c r="J291" s="96" t="str">
        <f t="shared" si="4"/>
        <v>"",</v>
      </c>
    </row>
    <row r="292" spans="1:10" x14ac:dyDescent="0.25">
      <c r="A292" t="s">
        <v>0</v>
      </c>
      <c r="B292" s="94"/>
      <c r="C292" t="s">
        <v>0</v>
      </c>
      <c r="D292" t="s">
        <v>128</v>
      </c>
      <c r="J292" s="96" t="str">
        <f t="shared" si="4"/>
        <v>"",</v>
      </c>
    </row>
    <row r="293" spans="1:10" x14ac:dyDescent="0.25">
      <c r="A293" t="s">
        <v>0</v>
      </c>
      <c r="B293" s="94"/>
      <c r="C293" t="s">
        <v>0</v>
      </c>
      <c r="D293" t="s">
        <v>128</v>
      </c>
      <c r="J293" s="96" t="str">
        <f t="shared" si="4"/>
        <v>"",</v>
      </c>
    </row>
    <row r="294" spans="1:10" x14ac:dyDescent="0.25">
      <c r="A294" t="s">
        <v>0</v>
      </c>
      <c r="B294" s="94"/>
      <c r="C294" t="s">
        <v>0</v>
      </c>
      <c r="D294" t="s">
        <v>128</v>
      </c>
      <c r="J294" s="96" t="str">
        <f t="shared" si="4"/>
        <v>"",</v>
      </c>
    </row>
    <row r="295" spans="1:10" x14ac:dyDescent="0.25">
      <c r="A295" t="s">
        <v>0</v>
      </c>
      <c r="B295" s="94"/>
      <c r="C295" t="s">
        <v>0</v>
      </c>
      <c r="D295" t="s">
        <v>128</v>
      </c>
      <c r="J295" s="96" t="str">
        <f t="shared" si="4"/>
        <v>"",</v>
      </c>
    </row>
    <row r="296" spans="1:10" x14ac:dyDescent="0.25">
      <c r="A296" t="s">
        <v>0</v>
      </c>
      <c r="B296" s="94"/>
      <c r="C296" t="s">
        <v>0</v>
      </c>
      <c r="D296" t="s">
        <v>128</v>
      </c>
      <c r="J296" s="96" t="str">
        <f t="shared" si="4"/>
        <v>"",</v>
      </c>
    </row>
    <row r="297" spans="1:10" x14ac:dyDescent="0.25">
      <c r="A297" t="s">
        <v>0</v>
      </c>
      <c r="B297" s="94"/>
      <c r="C297" t="s">
        <v>0</v>
      </c>
      <c r="D297" t="s">
        <v>128</v>
      </c>
      <c r="J297" s="96" t="str">
        <f t="shared" si="4"/>
        <v>"",</v>
      </c>
    </row>
    <row r="298" spans="1:10" x14ac:dyDescent="0.25">
      <c r="A298" t="s">
        <v>0</v>
      </c>
      <c r="B298" s="94"/>
      <c r="C298" t="s">
        <v>0</v>
      </c>
      <c r="D298" t="s">
        <v>128</v>
      </c>
      <c r="J298" s="96" t="str">
        <f t="shared" si="4"/>
        <v>"",</v>
      </c>
    </row>
    <row r="299" spans="1:10" x14ac:dyDescent="0.25">
      <c r="A299" t="s">
        <v>0</v>
      </c>
      <c r="B299" s="94"/>
      <c r="C299" t="s">
        <v>0</v>
      </c>
      <c r="D299" t="s">
        <v>128</v>
      </c>
      <c r="J299" s="96" t="str">
        <f t="shared" si="4"/>
        <v>"",</v>
      </c>
    </row>
    <row r="300" spans="1:10" x14ac:dyDescent="0.25">
      <c r="A300" t="s">
        <v>0</v>
      </c>
      <c r="B300" s="94"/>
      <c r="C300" t="s">
        <v>0</v>
      </c>
      <c r="D300" t="s">
        <v>128</v>
      </c>
      <c r="J300" s="96" t="str">
        <f t="shared" si="4"/>
        <v>"",</v>
      </c>
    </row>
    <row r="301" spans="1:10" x14ac:dyDescent="0.25">
      <c r="A301" t="s">
        <v>0</v>
      </c>
      <c r="B301" s="94"/>
      <c r="C301" t="s">
        <v>0</v>
      </c>
      <c r="D301" t="s">
        <v>128</v>
      </c>
      <c r="J301" s="96" t="str">
        <f t="shared" si="4"/>
        <v>"",</v>
      </c>
    </row>
    <row r="302" spans="1:10" x14ac:dyDescent="0.25">
      <c r="A302" t="s">
        <v>0</v>
      </c>
      <c r="B302" s="94"/>
      <c r="C302" t="s">
        <v>0</v>
      </c>
      <c r="D302" t="s">
        <v>128</v>
      </c>
      <c r="J302" s="96" t="str">
        <f t="shared" si="4"/>
        <v>"",</v>
      </c>
    </row>
    <row r="303" spans="1:10" x14ac:dyDescent="0.25">
      <c r="A303" t="s">
        <v>0</v>
      </c>
      <c r="B303" s="94"/>
      <c r="C303" t="s">
        <v>0</v>
      </c>
      <c r="D303" t="s">
        <v>128</v>
      </c>
      <c r="J303" s="96" t="str">
        <f t="shared" si="4"/>
        <v>"",</v>
      </c>
    </row>
    <row r="304" spans="1:10" x14ac:dyDescent="0.25">
      <c r="A304" t="s">
        <v>0</v>
      </c>
      <c r="B304" s="94"/>
      <c r="C304" t="s">
        <v>0</v>
      </c>
      <c r="D304" t="s">
        <v>128</v>
      </c>
      <c r="J304" s="96" t="str">
        <f t="shared" si="4"/>
        <v>"",</v>
      </c>
    </row>
    <row r="305" spans="1:10" x14ac:dyDescent="0.25">
      <c r="A305" t="s">
        <v>0</v>
      </c>
      <c r="B305" s="94"/>
      <c r="C305" t="s">
        <v>0</v>
      </c>
      <c r="D305" t="s">
        <v>128</v>
      </c>
      <c r="J305" s="96" t="str">
        <f t="shared" si="4"/>
        <v>"",</v>
      </c>
    </row>
    <row r="306" spans="1:10" x14ac:dyDescent="0.25">
      <c r="A306" t="s">
        <v>0</v>
      </c>
      <c r="B306" s="94"/>
      <c r="C306" t="s">
        <v>0</v>
      </c>
      <c r="D306" t="s">
        <v>128</v>
      </c>
      <c r="J306" s="96" t="str">
        <f t="shared" si="4"/>
        <v>"",</v>
      </c>
    </row>
    <row r="307" spans="1:10" x14ac:dyDescent="0.25">
      <c r="A307" t="s">
        <v>0</v>
      </c>
      <c r="B307" s="94"/>
      <c r="C307" t="s">
        <v>0</v>
      </c>
      <c r="D307" t="s">
        <v>128</v>
      </c>
      <c r="J307" s="96" t="str">
        <f t="shared" si="4"/>
        <v>"",</v>
      </c>
    </row>
    <row r="308" spans="1:10" x14ac:dyDescent="0.25">
      <c r="A308" t="s">
        <v>0</v>
      </c>
      <c r="B308" s="94"/>
      <c r="C308" t="s">
        <v>0</v>
      </c>
      <c r="D308" t="s">
        <v>128</v>
      </c>
      <c r="J308" s="96" t="str">
        <f t="shared" si="4"/>
        <v>"",</v>
      </c>
    </row>
    <row r="309" spans="1:10" x14ac:dyDescent="0.25">
      <c r="A309" t="s">
        <v>0</v>
      </c>
      <c r="B309" s="94"/>
      <c r="C309" t="s">
        <v>0</v>
      </c>
      <c r="D309" t="s">
        <v>128</v>
      </c>
      <c r="J309" s="96" t="str">
        <f t="shared" si="4"/>
        <v>"",</v>
      </c>
    </row>
    <row r="310" spans="1:10" x14ac:dyDescent="0.25">
      <c r="A310" t="s">
        <v>0</v>
      </c>
      <c r="B310" s="94"/>
      <c r="C310" t="s">
        <v>0</v>
      </c>
      <c r="D310" t="s">
        <v>128</v>
      </c>
      <c r="J310" s="96" t="str">
        <f t="shared" si="4"/>
        <v>"",</v>
      </c>
    </row>
    <row r="311" spans="1:10" x14ac:dyDescent="0.25">
      <c r="A311" t="s">
        <v>0</v>
      </c>
      <c r="B311" s="94"/>
      <c r="C311" t="s">
        <v>0</v>
      </c>
      <c r="D311" t="s">
        <v>128</v>
      </c>
      <c r="J311" s="96" t="str">
        <f t="shared" si="4"/>
        <v>"",</v>
      </c>
    </row>
    <row r="312" spans="1:10" x14ac:dyDescent="0.25">
      <c r="A312" t="s">
        <v>0</v>
      </c>
      <c r="B312" s="94"/>
      <c r="C312" t="s">
        <v>0</v>
      </c>
      <c r="D312" t="s">
        <v>128</v>
      </c>
      <c r="J312" s="96" t="str">
        <f t="shared" si="4"/>
        <v>"",</v>
      </c>
    </row>
    <row r="313" spans="1:10" x14ac:dyDescent="0.25">
      <c r="A313" t="s">
        <v>0</v>
      </c>
      <c r="B313" s="94"/>
      <c r="C313" t="s">
        <v>0</v>
      </c>
      <c r="D313" t="s">
        <v>128</v>
      </c>
      <c r="J313" s="96" t="str">
        <f t="shared" si="4"/>
        <v>"",</v>
      </c>
    </row>
    <row r="314" spans="1:10" x14ac:dyDescent="0.25">
      <c r="A314" t="s">
        <v>0</v>
      </c>
      <c r="B314" s="94"/>
      <c r="C314" t="s">
        <v>0</v>
      </c>
      <c r="D314" t="s">
        <v>128</v>
      </c>
      <c r="J314" s="96" t="str">
        <f t="shared" si="4"/>
        <v>"",</v>
      </c>
    </row>
    <row r="315" spans="1:10" x14ac:dyDescent="0.25">
      <c r="A315" t="s">
        <v>0</v>
      </c>
      <c r="B315" s="94"/>
      <c r="C315" t="s">
        <v>0</v>
      </c>
      <c r="D315" t="s">
        <v>128</v>
      </c>
      <c r="J315" s="96" t="str">
        <f t="shared" si="4"/>
        <v>"",</v>
      </c>
    </row>
    <row r="316" spans="1:10" x14ac:dyDescent="0.25">
      <c r="A316" t="s">
        <v>0</v>
      </c>
      <c r="B316" s="94"/>
      <c r="C316" t="s">
        <v>0</v>
      </c>
      <c r="D316" t="s">
        <v>128</v>
      </c>
      <c r="J316" s="96" t="str">
        <f t="shared" si="4"/>
        <v>"",</v>
      </c>
    </row>
    <row r="317" spans="1:10" x14ac:dyDescent="0.25">
      <c r="A317" t="s">
        <v>0</v>
      </c>
      <c r="B317" s="94"/>
      <c r="C317" t="s">
        <v>0</v>
      </c>
      <c r="D317" t="s">
        <v>128</v>
      </c>
      <c r="J317" s="96" t="str">
        <f t="shared" si="4"/>
        <v>"",</v>
      </c>
    </row>
    <row r="318" spans="1:10" x14ac:dyDescent="0.25">
      <c r="A318" t="s">
        <v>0</v>
      </c>
      <c r="B318" s="94"/>
      <c r="C318" t="s">
        <v>0</v>
      </c>
      <c r="D318" t="s">
        <v>128</v>
      </c>
      <c r="J318" s="96" t="str">
        <f t="shared" si="4"/>
        <v>"",</v>
      </c>
    </row>
    <row r="319" spans="1:10" x14ac:dyDescent="0.25">
      <c r="A319" t="s">
        <v>0</v>
      </c>
      <c r="B319" s="94"/>
      <c r="C319" t="s">
        <v>0</v>
      </c>
      <c r="D319" t="s">
        <v>128</v>
      </c>
      <c r="J319" s="96" t="str">
        <f t="shared" si="4"/>
        <v>"",</v>
      </c>
    </row>
    <row r="320" spans="1:10" x14ac:dyDescent="0.25">
      <c r="A320" t="s">
        <v>0</v>
      </c>
      <c r="B320" s="94"/>
      <c r="C320" t="s">
        <v>0</v>
      </c>
      <c r="D320" t="s">
        <v>128</v>
      </c>
      <c r="J320" s="96" t="str">
        <f t="shared" si="4"/>
        <v>"",</v>
      </c>
    </row>
    <row r="321" spans="1:10" x14ac:dyDescent="0.25">
      <c r="A321" t="s">
        <v>0</v>
      </c>
      <c r="B321" s="94"/>
      <c r="C321" t="s">
        <v>0</v>
      </c>
      <c r="D321" t="s">
        <v>128</v>
      </c>
      <c r="J321" s="96" t="str">
        <f t="shared" ref="J321:J323" si="5">A321&amp;B321&amp;C321&amp;D321&amp;E321&amp;F321&amp;G321&amp;H321&amp;I321</f>
        <v>"",</v>
      </c>
    </row>
    <row r="322" spans="1:10" x14ac:dyDescent="0.25">
      <c r="A322" t="s">
        <v>0</v>
      </c>
      <c r="B322" s="94"/>
      <c r="C322" t="s">
        <v>0</v>
      </c>
      <c r="D322" t="s">
        <v>128</v>
      </c>
      <c r="J322" s="96" t="str">
        <f t="shared" si="5"/>
        <v>"",</v>
      </c>
    </row>
    <row r="323" spans="1:10" x14ac:dyDescent="0.25">
      <c r="A323" t="s">
        <v>0</v>
      </c>
      <c r="B323" s="94"/>
      <c r="C323" t="s">
        <v>0</v>
      </c>
      <c r="D323" t="s">
        <v>128</v>
      </c>
      <c r="J323" s="96" t="str">
        <f t="shared" si="5"/>
        <v>"",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25"/>
  <sheetViews>
    <sheetView topLeftCell="A8" zoomScale="85" zoomScaleNormal="85" workbookViewId="0">
      <selection activeCell="J8" sqref="J1:J1048576"/>
    </sheetView>
  </sheetViews>
  <sheetFormatPr defaultRowHeight="15" x14ac:dyDescent="0.25"/>
  <cols>
    <col min="1" max="1" width="19" style="1" customWidth="1"/>
    <col min="2" max="2" width="2.7109375" style="1" bestFit="1" customWidth="1"/>
    <col min="3" max="3" width="16.140625" style="1" bestFit="1" customWidth="1"/>
    <col min="4" max="4" width="9.140625" style="1"/>
    <col min="5" max="5" width="1.85546875" style="1" bestFit="1" customWidth="1"/>
    <col min="6" max="6" width="83.28515625" style="1" bestFit="1" customWidth="1"/>
    <col min="7" max="7" width="25.85546875" style="1" customWidth="1"/>
    <col min="8" max="9" width="9.140625" style="1"/>
    <col min="10" max="10" width="69.7109375" style="98" bestFit="1" customWidth="1"/>
    <col min="11" max="16384" width="9.140625" style="1"/>
  </cols>
  <sheetData>
    <row r="1" spans="1:10" x14ac:dyDescent="0.25">
      <c r="A1" s="1" t="s">
        <v>1016</v>
      </c>
      <c r="B1" s="1" t="s">
        <v>1017</v>
      </c>
      <c r="C1" s="1" t="s">
        <v>1023</v>
      </c>
      <c r="D1" s="1" t="s">
        <v>1024</v>
      </c>
      <c r="E1" s="95" t="s">
        <v>0</v>
      </c>
      <c r="F1" s="1" t="s">
        <v>1025</v>
      </c>
      <c r="G1" s="1" t="s">
        <v>0</v>
      </c>
      <c r="H1" s="1" t="s">
        <v>1018</v>
      </c>
      <c r="I1" s="1" t="s">
        <v>1019</v>
      </c>
      <c r="J1" s="97" t="str">
        <f t="shared" ref="J1:J65" si="0">A1&amp;B1&amp;C1&amp;D1&amp;E1&amp;F1&amp;G1&amp;H1&amp;I1</f>
        <v>loadMibOLD(pathMibFolder + "ALTASEC-HAIPE-V4-MIB");</v>
      </c>
    </row>
    <row r="2" spans="1:10" x14ac:dyDescent="0.25">
      <c r="A2" s="1" t="s">
        <v>1016</v>
      </c>
      <c r="B2" s="1" t="s">
        <v>1017</v>
      </c>
      <c r="C2" s="1" t="s">
        <v>1023</v>
      </c>
      <c r="D2" s="1" t="s">
        <v>1024</v>
      </c>
      <c r="E2" s="95" t="s">
        <v>0</v>
      </c>
      <c r="F2" s="1" t="s">
        <v>1026</v>
      </c>
      <c r="G2" s="1" t="s">
        <v>0</v>
      </c>
      <c r="H2" s="1" t="s">
        <v>1018</v>
      </c>
      <c r="I2" s="1" t="s">
        <v>1019</v>
      </c>
      <c r="J2" s="97" t="str">
        <f t="shared" si="0"/>
        <v>loadMibOLD(pathMibFolder + "ALTASEC-MIB");</v>
      </c>
    </row>
    <row r="3" spans="1:10" x14ac:dyDescent="0.25">
      <c r="A3" s="1" t="s">
        <v>1016</v>
      </c>
      <c r="B3" s="1" t="s">
        <v>1017</v>
      </c>
      <c r="C3" s="1" t="s">
        <v>1023</v>
      </c>
      <c r="D3" s="1" t="s">
        <v>1024</v>
      </c>
      <c r="E3" s="95" t="s">
        <v>0</v>
      </c>
      <c r="F3" s="1" t="s">
        <v>1027</v>
      </c>
      <c r="G3" s="1" t="s">
        <v>0</v>
      </c>
      <c r="H3" s="1" t="s">
        <v>1018</v>
      </c>
      <c r="I3" s="1" t="s">
        <v>1019</v>
      </c>
      <c r="J3" s="97" t="str">
        <f t="shared" si="0"/>
        <v>loadMibOLD(pathMibFolder + "VIASAT-PRODUCT-MIB");</v>
      </c>
    </row>
    <row r="4" spans="1:10" x14ac:dyDescent="0.25">
      <c r="A4" s="1" t="s">
        <v>1016</v>
      </c>
      <c r="B4" s="1" t="s">
        <v>1017</v>
      </c>
      <c r="C4" s="1" t="s">
        <v>1023</v>
      </c>
      <c r="D4" s="1" t="s">
        <v>1024</v>
      </c>
      <c r="E4" s="95" t="s">
        <v>0</v>
      </c>
      <c r="G4" s="1" t="s">
        <v>0</v>
      </c>
      <c r="H4" s="1" t="s">
        <v>1018</v>
      </c>
      <c r="I4" s="1" t="s">
        <v>1019</v>
      </c>
      <c r="J4" s="97" t="str">
        <f t="shared" si="0"/>
        <v>loadMibOLD(pathMibFolder + "");</v>
      </c>
    </row>
    <row r="5" spans="1:10" x14ac:dyDescent="0.25">
      <c r="A5" s="1" t="s">
        <v>1016</v>
      </c>
      <c r="B5" s="1" t="s">
        <v>1017</v>
      </c>
      <c r="C5" s="1" t="s">
        <v>1023</v>
      </c>
      <c r="D5" s="1" t="s">
        <v>1024</v>
      </c>
      <c r="E5" s="95" t="s">
        <v>0</v>
      </c>
      <c r="G5" s="1" t="s">
        <v>0</v>
      </c>
      <c r="H5" s="1" t="s">
        <v>1018</v>
      </c>
      <c r="I5" s="1" t="s">
        <v>1019</v>
      </c>
      <c r="J5" s="97" t="str">
        <f t="shared" si="0"/>
        <v>loadMibOLD(pathMibFolder + "");</v>
      </c>
    </row>
    <row r="6" spans="1:10" x14ac:dyDescent="0.25">
      <c r="A6" s="1" t="s">
        <v>1016</v>
      </c>
      <c r="B6" s="1" t="s">
        <v>1017</v>
      </c>
      <c r="C6" s="1" t="s">
        <v>1023</v>
      </c>
      <c r="D6" s="1" t="s">
        <v>1024</v>
      </c>
      <c r="E6" s="95" t="s">
        <v>0</v>
      </c>
      <c r="G6" s="1" t="s">
        <v>0</v>
      </c>
      <c r="H6" s="1" t="s">
        <v>1018</v>
      </c>
      <c r="I6" s="1" t="s">
        <v>1019</v>
      </c>
      <c r="J6" s="97" t="str">
        <f t="shared" si="0"/>
        <v>loadMibOLD(pathMibFolder + "");</v>
      </c>
    </row>
    <row r="7" spans="1:10" x14ac:dyDescent="0.25">
      <c r="A7" s="1" t="s">
        <v>1016</v>
      </c>
      <c r="B7" s="1" t="s">
        <v>1017</v>
      </c>
      <c r="C7" s="1" t="s">
        <v>1023</v>
      </c>
      <c r="D7" s="1" t="s">
        <v>1024</v>
      </c>
      <c r="E7" s="95" t="s">
        <v>0</v>
      </c>
      <c r="G7" s="1" t="s">
        <v>0</v>
      </c>
      <c r="H7" s="1" t="s">
        <v>1018</v>
      </c>
      <c r="I7" s="1" t="s">
        <v>1019</v>
      </c>
      <c r="J7" s="97" t="str">
        <f t="shared" si="0"/>
        <v>loadMibOLD(pathMibFolder + "");</v>
      </c>
    </row>
    <row r="8" spans="1:10" x14ac:dyDescent="0.25">
      <c r="A8" s="1" t="s">
        <v>1016</v>
      </c>
      <c r="B8" s="1" t="s">
        <v>1017</v>
      </c>
      <c r="C8" s="1" t="s">
        <v>1023</v>
      </c>
      <c r="D8" s="1" t="s">
        <v>1024</v>
      </c>
      <c r="E8" s="95" t="s">
        <v>0</v>
      </c>
      <c r="G8" s="1" t="s">
        <v>0</v>
      </c>
      <c r="H8" s="1" t="s">
        <v>1018</v>
      </c>
      <c r="I8" s="1" t="s">
        <v>1019</v>
      </c>
      <c r="J8" s="97" t="str">
        <f t="shared" si="0"/>
        <v>loadMibOLD(pathMibFolder + "");</v>
      </c>
    </row>
    <row r="9" spans="1:10" x14ac:dyDescent="0.25">
      <c r="A9" s="1" t="s">
        <v>1016</v>
      </c>
      <c r="B9" s="1" t="s">
        <v>1017</v>
      </c>
      <c r="C9" s="1" t="s">
        <v>1023</v>
      </c>
      <c r="D9" s="1" t="s">
        <v>1024</v>
      </c>
      <c r="E9" s="95" t="s">
        <v>0</v>
      </c>
      <c r="G9" s="1" t="s">
        <v>0</v>
      </c>
      <c r="H9" s="1" t="s">
        <v>1018</v>
      </c>
      <c r="I9" s="1" t="s">
        <v>1019</v>
      </c>
      <c r="J9" s="97" t="str">
        <f t="shared" si="0"/>
        <v>loadMibOLD(pathMibFolder + "");</v>
      </c>
    </row>
    <row r="10" spans="1:10" x14ac:dyDescent="0.25">
      <c r="A10" s="1" t="s">
        <v>1016</v>
      </c>
      <c r="B10" s="1" t="s">
        <v>1017</v>
      </c>
      <c r="C10" s="1" t="s">
        <v>1023</v>
      </c>
      <c r="D10" s="1" t="s">
        <v>1024</v>
      </c>
      <c r="E10" s="95" t="s">
        <v>0</v>
      </c>
      <c r="G10" s="1" t="s">
        <v>0</v>
      </c>
      <c r="H10" s="1" t="s">
        <v>1018</v>
      </c>
      <c r="I10" s="1" t="s">
        <v>1019</v>
      </c>
      <c r="J10" s="97" t="str">
        <f t="shared" si="0"/>
        <v>loadMibOLD(pathMibFolder + "");</v>
      </c>
    </row>
    <row r="11" spans="1:10" x14ac:dyDescent="0.25">
      <c r="A11" s="1" t="s">
        <v>1016</v>
      </c>
      <c r="B11" s="1" t="s">
        <v>1017</v>
      </c>
      <c r="C11" s="1" t="s">
        <v>1023</v>
      </c>
      <c r="D11" s="1" t="s">
        <v>1024</v>
      </c>
      <c r="E11" s="95" t="s">
        <v>0</v>
      </c>
      <c r="G11" s="1" t="s">
        <v>0</v>
      </c>
      <c r="H11" s="1" t="s">
        <v>1018</v>
      </c>
      <c r="I11" s="1" t="s">
        <v>1019</v>
      </c>
      <c r="J11" s="97" t="str">
        <f t="shared" si="0"/>
        <v>loadMibOLD(pathMibFolder + "");</v>
      </c>
    </row>
    <row r="12" spans="1:10" x14ac:dyDescent="0.25">
      <c r="A12" s="1" t="s">
        <v>1016</v>
      </c>
      <c r="B12" s="1" t="s">
        <v>1017</v>
      </c>
      <c r="C12" s="1" t="s">
        <v>1023</v>
      </c>
      <c r="D12" s="1" t="s">
        <v>1024</v>
      </c>
      <c r="E12" s="95" t="s">
        <v>0</v>
      </c>
      <c r="G12" s="1" t="s">
        <v>0</v>
      </c>
      <c r="H12" s="1" t="s">
        <v>1018</v>
      </c>
      <c r="I12" s="1" t="s">
        <v>1019</v>
      </c>
      <c r="J12" s="97" t="str">
        <f t="shared" si="0"/>
        <v>loadMibOLD(pathMibFolder + "");</v>
      </c>
    </row>
    <row r="13" spans="1:10" x14ac:dyDescent="0.25">
      <c r="A13" s="1" t="s">
        <v>1016</v>
      </c>
      <c r="B13" s="1" t="s">
        <v>1017</v>
      </c>
      <c r="C13" s="1" t="s">
        <v>1023</v>
      </c>
      <c r="D13" s="1" t="s">
        <v>1024</v>
      </c>
      <c r="E13" s="95" t="s">
        <v>0</v>
      </c>
      <c r="G13" s="1" t="s">
        <v>0</v>
      </c>
      <c r="H13" s="1" t="s">
        <v>1018</v>
      </c>
      <c r="I13" s="1" t="s">
        <v>1019</v>
      </c>
      <c r="J13" s="97" t="str">
        <f t="shared" si="0"/>
        <v>loadMibOLD(pathMibFolder + "");</v>
      </c>
    </row>
    <row r="14" spans="1:10" x14ac:dyDescent="0.25">
      <c r="A14" s="1" t="s">
        <v>1016</v>
      </c>
      <c r="B14" s="1" t="s">
        <v>1017</v>
      </c>
      <c r="C14" s="1" t="s">
        <v>1023</v>
      </c>
      <c r="D14" s="1" t="s">
        <v>1024</v>
      </c>
      <c r="E14" s="95" t="s">
        <v>0</v>
      </c>
      <c r="G14" s="1" t="s">
        <v>0</v>
      </c>
      <c r="H14" s="1" t="s">
        <v>1018</v>
      </c>
      <c r="I14" s="1" t="s">
        <v>1019</v>
      </c>
      <c r="J14" s="97" t="str">
        <f t="shared" si="0"/>
        <v>loadMibOLD(pathMibFolder + "");</v>
      </c>
    </row>
    <row r="15" spans="1:10" x14ac:dyDescent="0.25">
      <c r="A15" s="1" t="s">
        <v>1016</v>
      </c>
      <c r="B15" s="1" t="s">
        <v>1017</v>
      </c>
      <c r="C15" s="1" t="s">
        <v>1023</v>
      </c>
      <c r="D15" s="1" t="s">
        <v>1024</v>
      </c>
      <c r="E15" s="95" t="s">
        <v>0</v>
      </c>
      <c r="G15" s="1" t="s">
        <v>0</v>
      </c>
      <c r="H15" s="1" t="s">
        <v>1018</v>
      </c>
      <c r="I15" s="1" t="s">
        <v>1019</v>
      </c>
      <c r="J15" s="97" t="str">
        <f t="shared" si="0"/>
        <v>loadMibOLD(pathMibFolder + "");</v>
      </c>
    </row>
    <row r="16" spans="1:10" x14ac:dyDescent="0.25">
      <c r="A16" s="1" t="s">
        <v>1016</v>
      </c>
      <c r="B16" s="1" t="s">
        <v>1017</v>
      </c>
      <c r="C16" s="1" t="s">
        <v>1023</v>
      </c>
      <c r="D16" s="1" t="s">
        <v>1024</v>
      </c>
      <c r="E16" s="95" t="s">
        <v>0</v>
      </c>
      <c r="G16" s="1" t="s">
        <v>0</v>
      </c>
      <c r="H16" s="1" t="s">
        <v>1018</v>
      </c>
      <c r="I16" s="1" t="s">
        <v>1019</v>
      </c>
      <c r="J16" s="97" t="str">
        <f t="shared" si="0"/>
        <v>loadMibOLD(pathMibFolder + "");</v>
      </c>
    </row>
    <row r="17" spans="1:10" x14ac:dyDescent="0.25">
      <c r="A17" s="1" t="s">
        <v>1016</v>
      </c>
      <c r="B17" s="1" t="s">
        <v>1017</v>
      </c>
      <c r="C17" s="1" t="s">
        <v>1023</v>
      </c>
      <c r="D17" s="1" t="s">
        <v>1024</v>
      </c>
      <c r="E17" s="95" t="s">
        <v>0</v>
      </c>
      <c r="G17" s="1" t="s">
        <v>0</v>
      </c>
      <c r="H17" s="1" t="s">
        <v>1018</v>
      </c>
      <c r="I17" s="1" t="s">
        <v>1019</v>
      </c>
      <c r="J17" s="97" t="str">
        <f t="shared" si="0"/>
        <v>loadMibOLD(pathMibFolder + "");</v>
      </c>
    </row>
    <row r="18" spans="1:10" x14ac:dyDescent="0.25">
      <c r="A18" s="1" t="s">
        <v>1016</v>
      </c>
      <c r="B18" s="1" t="s">
        <v>1017</v>
      </c>
      <c r="C18" s="1" t="s">
        <v>1023</v>
      </c>
      <c r="D18" s="1" t="s">
        <v>1024</v>
      </c>
      <c r="E18" s="95" t="s">
        <v>0</v>
      </c>
      <c r="G18" s="1" t="s">
        <v>0</v>
      </c>
      <c r="H18" s="1" t="s">
        <v>1018</v>
      </c>
      <c r="I18" s="1" t="s">
        <v>1019</v>
      </c>
      <c r="J18" s="97" t="str">
        <f t="shared" si="0"/>
        <v>loadMibOLD(pathMibFolder + "");</v>
      </c>
    </row>
    <row r="19" spans="1:10" x14ac:dyDescent="0.25">
      <c r="A19" s="1" t="s">
        <v>1016</v>
      </c>
      <c r="B19" s="1" t="s">
        <v>1017</v>
      </c>
      <c r="C19" s="1" t="s">
        <v>1023</v>
      </c>
      <c r="D19" s="1" t="s">
        <v>1024</v>
      </c>
      <c r="E19" s="95" t="s">
        <v>0</v>
      </c>
      <c r="G19" s="1" t="s">
        <v>0</v>
      </c>
      <c r="H19" s="1" t="s">
        <v>1018</v>
      </c>
      <c r="I19" s="1" t="s">
        <v>1019</v>
      </c>
      <c r="J19" s="97" t="str">
        <f t="shared" si="0"/>
        <v>loadMibOLD(pathMibFolder + "");</v>
      </c>
    </row>
    <row r="20" spans="1:10" x14ac:dyDescent="0.25">
      <c r="A20" s="1" t="s">
        <v>1016</v>
      </c>
      <c r="B20" s="1" t="s">
        <v>1017</v>
      </c>
      <c r="C20" s="1" t="s">
        <v>1023</v>
      </c>
      <c r="D20" s="1" t="s">
        <v>1024</v>
      </c>
      <c r="E20" s="95" t="s">
        <v>0</v>
      </c>
      <c r="G20" s="1" t="s">
        <v>0</v>
      </c>
      <c r="H20" s="1" t="s">
        <v>1018</v>
      </c>
      <c r="I20" s="1" t="s">
        <v>1019</v>
      </c>
      <c r="J20" s="97" t="str">
        <f t="shared" si="0"/>
        <v>loadMibOLD(pathMibFolder + "");</v>
      </c>
    </row>
    <row r="21" spans="1:10" x14ac:dyDescent="0.25">
      <c r="A21" s="1" t="s">
        <v>1016</v>
      </c>
      <c r="B21" s="1" t="s">
        <v>1017</v>
      </c>
      <c r="C21" s="1" t="s">
        <v>1023</v>
      </c>
      <c r="D21" s="1" t="s">
        <v>1024</v>
      </c>
      <c r="E21" s="95" t="s">
        <v>0</v>
      </c>
      <c r="G21" s="1" t="s">
        <v>0</v>
      </c>
      <c r="H21" s="1" t="s">
        <v>1018</v>
      </c>
      <c r="I21" s="1" t="s">
        <v>1019</v>
      </c>
      <c r="J21" s="97" t="str">
        <f t="shared" si="0"/>
        <v>loadMibOLD(pathMibFolder + "");</v>
      </c>
    </row>
    <row r="22" spans="1:10" x14ac:dyDescent="0.25">
      <c r="A22" s="1" t="s">
        <v>1016</v>
      </c>
      <c r="B22" s="1" t="s">
        <v>1017</v>
      </c>
      <c r="C22" s="1" t="s">
        <v>1023</v>
      </c>
      <c r="D22" s="1" t="s">
        <v>1024</v>
      </c>
      <c r="E22" s="95" t="s">
        <v>0</v>
      </c>
      <c r="G22" s="1" t="s">
        <v>0</v>
      </c>
      <c r="H22" s="1" t="s">
        <v>1018</v>
      </c>
      <c r="I22" s="1" t="s">
        <v>1019</v>
      </c>
      <c r="J22" s="97" t="str">
        <f t="shared" si="0"/>
        <v>loadMibOLD(pathMibFolder + "");</v>
      </c>
    </row>
    <row r="23" spans="1:10" x14ac:dyDescent="0.25">
      <c r="A23" s="1" t="s">
        <v>1016</v>
      </c>
      <c r="B23" s="1" t="s">
        <v>1017</v>
      </c>
      <c r="C23" s="1" t="s">
        <v>1023</v>
      </c>
      <c r="D23" s="1" t="s">
        <v>1024</v>
      </c>
      <c r="E23" s="95" t="s">
        <v>0</v>
      </c>
      <c r="G23" s="1" t="s">
        <v>0</v>
      </c>
      <c r="H23" s="1" t="s">
        <v>1018</v>
      </c>
      <c r="I23" s="1" t="s">
        <v>1019</v>
      </c>
      <c r="J23" s="97" t="str">
        <f t="shared" si="0"/>
        <v>loadMibOLD(pathMibFolder + "");</v>
      </c>
    </row>
    <row r="24" spans="1:10" x14ac:dyDescent="0.25">
      <c r="A24" s="1" t="s">
        <v>1016</v>
      </c>
      <c r="B24" s="1" t="s">
        <v>1017</v>
      </c>
      <c r="C24" s="1" t="s">
        <v>1023</v>
      </c>
      <c r="D24" s="1" t="s">
        <v>1024</v>
      </c>
      <c r="E24" s="95" t="s">
        <v>0</v>
      </c>
      <c r="G24" s="1" t="s">
        <v>0</v>
      </c>
      <c r="H24" s="1" t="s">
        <v>1018</v>
      </c>
      <c r="I24" s="1" t="s">
        <v>1019</v>
      </c>
      <c r="J24" s="97" t="str">
        <f t="shared" si="0"/>
        <v>loadMibOLD(pathMibFolder + "");</v>
      </c>
    </row>
    <row r="25" spans="1:10" x14ac:dyDescent="0.25">
      <c r="A25" s="1" t="s">
        <v>1016</v>
      </c>
      <c r="B25" s="1" t="s">
        <v>1017</v>
      </c>
      <c r="C25" s="1" t="s">
        <v>1023</v>
      </c>
      <c r="D25" s="1" t="s">
        <v>1024</v>
      </c>
      <c r="E25" s="95" t="s">
        <v>0</v>
      </c>
      <c r="G25" s="1" t="s">
        <v>0</v>
      </c>
      <c r="H25" s="1" t="s">
        <v>1018</v>
      </c>
      <c r="I25" s="1" t="s">
        <v>1019</v>
      </c>
      <c r="J25" s="97" t="str">
        <f t="shared" si="0"/>
        <v>loadMibOLD(pathMibFolder + "");</v>
      </c>
    </row>
    <row r="26" spans="1:10" x14ac:dyDescent="0.25">
      <c r="A26" s="1" t="s">
        <v>1016</v>
      </c>
      <c r="B26" s="1" t="s">
        <v>1017</v>
      </c>
      <c r="C26" s="1" t="s">
        <v>1023</v>
      </c>
      <c r="D26" s="1" t="s">
        <v>1024</v>
      </c>
      <c r="E26" s="95" t="s">
        <v>0</v>
      </c>
      <c r="G26" s="1" t="s">
        <v>0</v>
      </c>
      <c r="H26" s="1" t="s">
        <v>1018</v>
      </c>
      <c r="I26" s="1" t="s">
        <v>1019</v>
      </c>
      <c r="J26" s="97" t="str">
        <f t="shared" si="0"/>
        <v>loadMibOLD(pathMibFolder + "");</v>
      </c>
    </row>
    <row r="27" spans="1:10" x14ac:dyDescent="0.25">
      <c r="A27" s="1" t="s">
        <v>1016</v>
      </c>
      <c r="B27" s="1" t="s">
        <v>1017</v>
      </c>
      <c r="C27" s="1" t="s">
        <v>1023</v>
      </c>
      <c r="D27" s="1" t="s">
        <v>1024</v>
      </c>
      <c r="E27" s="95" t="s">
        <v>0</v>
      </c>
      <c r="G27" s="1" t="s">
        <v>0</v>
      </c>
      <c r="H27" s="1" t="s">
        <v>1018</v>
      </c>
      <c r="I27" s="1" t="s">
        <v>1019</v>
      </c>
      <c r="J27" s="97" t="str">
        <f t="shared" si="0"/>
        <v>loadMibOLD(pathMibFolder + "");</v>
      </c>
    </row>
    <row r="28" spans="1:10" x14ac:dyDescent="0.25">
      <c r="A28" s="1" t="s">
        <v>1016</v>
      </c>
      <c r="B28" s="1" t="s">
        <v>1017</v>
      </c>
      <c r="C28" s="1" t="s">
        <v>1023</v>
      </c>
      <c r="D28" s="1" t="s">
        <v>1024</v>
      </c>
      <c r="E28" s="95" t="s">
        <v>0</v>
      </c>
      <c r="G28" s="1" t="s">
        <v>0</v>
      </c>
      <c r="H28" s="1" t="s">
        <v>1018</v>
      </c>
      <c r="I28" s="1" t="s">
        <v>1019</v>
      </c>
      <c r="J28" s="97" t="str">
        <f t="shared" si="0"/>
        <v>loadMibOLD(pathMibFolder + "");</v>
      </c>
    </row>
    <row r="29" spans="1:10" x14ac:dyDescent="0.25">
      <c r="A29" s="1" t="s">
        <v>1016</v>
      </c>
      <c r="B29" s="1" t="s">
        <v>1017</v>
      </c>
      <c r="C29" s="1" t="s">
        <v>1023</v>
      </c>
      <c r="D29" s="1" t="s">
        <v>1024</v>
      </c>
      <c r="E29" s="95" t="s">
        <v>0</v>
      </c>
      <c r="G29" s="1" t="s">
        <v>0</v>
      </c>
      <c r="H29" s="1" t="s">
        <v>1018</v>
      </c>
      <c r="I29" s="1" t="s">
        <v>1019</v>
      </c>
      <c r="J29" s="97" t="str">
        <f t="shared" si="0"/>
        <v>loadMibOLD(pathMibFolder + "");</v>
      </c>
    </row>
    <row r="30" spans="1:10" x14ac:dyDescent="0.25">
      <c r="A30" s="1" t="s">
        <v>1016</v>
      </c>
      <c r="B30" s="1" t="s">
        <v>1017</v>
      </c>
      <c r="C30" s="1" t="s">
        <v>1023</v>
      </c>
      <c r="D30" s="1" t="s">
        <v>1024</v>
      </c>
      <c r="E30" s="95" t="s">
        <v>0</v>
      </c>
      <c r="G30" s="1" t="s">
        <v>0</v>
      </c>
      <c r="H30" s="1" t="s">
        <v>1018</v>
      </c>
      <c r="I30" s="1" t="s">
        <v>1019</v>
      </c>
      <c r="J30" s="97" t="str">
        <f t="shared" si="0"/>
        <v>loadMibOLD(pathMibFolder + "");</v>
      </c>
    </row>
    <row r="31" spans="1:10" x14ac:dyDescent="0.25">
      <c r="A31" s="1" t="s">
        <v>1016</v>
      </c>
      <c r="B31" s="1" t="s">
        <v>1017</v>
      </c>
      <c r="C31" s="1" t="s">
        <v>1023</v>
      </c>
      <c r="D31" s="1" t="s">
        <v>1024</v>
      </c>
      <c r="E31" s="95" t="s">
        <v>0</v>
      </c>
      <c r="G31" s="1" t="s">
        <v>0</v>
      </c>
      <c r="H31" s="1" t="s">
        <v>1018</v>
      </c>
      <c r="I31" s="1" t="s">
        <v>1019</v>
      </c>
      <c r="J31" s="97" t="str">
        <f t="shared" si="0"/>
        <v>loadMibOLD(pathMibFolder + "");</v>
      </c>
    </row>
    <row r="32" spans="1:10" x14ac:dyDescent="0.25">
      <c r="A32" s="1" t="s">
        <v>1016</v>
      </c>
      <c r="B32" s="1" t="s">
        <v>1017</v>
      </c>
      <c r="C32" s="1" t="s">
        <v>1023</v>
      </c>
      <c r="D32" s="1" t="s">
        <v>1024</v>
      </c>
      <c r="E32" s="95" t="s">
        <v>0</v>
      </c>
      <c r="G32" s="1" t="s">
        <v>0</v>
      </c>
      <c r="H32" s="1" t="s">
        <v>1018</v>
      </c>
      <c r="I32" s="1" t="s">
        <v>1019</v>
      </c>
      <c r="J32" s="97" t="str">
        <f t="shared" si="0"/>
        <v>loadMibOLD(pathMibFolder + "");</v>
      </c>
    </row>
    <row r="33" spans="1:10" x14ac:dyDescent="0.25">
      <c r="A33" s="1" t="s">
        <v>1016</v>
      </c>
      <c r="B33" s="1" t="s">
        <v>1017</v>
      </c>
      <c r="C33" s="1" t="s">
        <v>1023</v>
      </c>
      <c r="D33" s="1" t="s">
        <v>1024</v>
      </c>
      <c r="E33" s="95" t="s">
        <v>0</v>
      </c>
      <c r="G33" s="1" t="s">
        <v>0</v>
      </c>
      <c r="H33" s="1" t="s">
        <v>1018</v>
      </c>
      <c r="I33" s="1" t="s">
        <v>1019</v>
      </c>
      <c r="J33" s="97" t="str">
        <f t="shared" si="0"/>
        <v>loadMibOLD(pathMibFolder + "");</v>
      </c>
    </row>
    <row r="34" spans="1:10" x14ac:dyDescent="0.25">
      <c r="A34" s="1" t="s">
        <v>1016</v>
      </c>
      <c r="B34" s="1" t="s">
        <v>1017</v>
      </c>
      <c r="C34" s="1" t="s">
        <v>1023</v>
      </c>
      <c r="D34" s="1" t="s">
        <v>1024</v>
      </c>
      <c r="E34" s="95" t="s">
        <v>0</v>
      </c>
      <c r="G34" s="1" t="s">
        <v>0</v>
      </c>
      <c r="H34" s="1" t="s">
        <v>1018</v>
      </c>
      <c r="I34" s="1" t="s">
        <v>1019</v>
      </c>
      <c r="J34" s="97" t="str">
        <f t="shared" si="0"/>
        <v>loadMibOLD(pathMibFolder + "");</v>
      </c>
    </row>
    <row r="35" spans="1:10" x14ac:dyDescent="0.25">
      <c r="A35" s="1" t="s">
        <v>1016</v>
      </c>
      <c r="B35" s="1" t="s">
        <v>1017</v>
      </c>
      <c r="C35" s="1" t="s">
        <v>1023</v>
      </c>
      <c r="D35" s="1" t="s">
        <v>1024</v>
      </c>
      <c r="E35" s="95" t="s">
        <v>0</v>
      </c>
      <c r="G35" s="1" t="s">
        <v>0</v>
      </c>
      <c r="H35" s="1" t="s">
        <v>1018</v>
      </c>
      <c r="I35" s="1" t="s">
        <v>1019</v>
      </c>
      <c r="J35" s="97" t="str">
        <f t="shared" si="0"/>
        <v>loadMibOLD(pathMibFolder + "");</v>
      </c>
    </row>
    <row r="36" spans="1:10" x14ac:dyDescent="0.25">
      <c r="A36" s="1" t="s">
        <v>1016</v>
      </c>
      <c r="B36" s="1" t="s">
        <v>1017</v>
      </c>
      <c r="C36" s="1" t="s">
        <v>1023</v>
      </c>
      <c r="D36" s="1" t="s">
        <v>1024</v>
      </c>
      <c r="E36" s="95" t="s">
        <v>0</v>
      </c>
      <c r="G36" s="1" t="s">
        <v>0</v>
      </c>
      <c r="H36" s="1" t="s">
        <v>1018</v>
      </c>
      <c r="I36" s="1" t="s">
        <v>1019</v>
      </c>
      <c r="J36" s="97" t="str">
        <f t="shared" si="0"/>
        <v>loadMibOLD(pathMibFolder + "");</v>
      </c>
    </row>
    <row r="37" spans="1:10" x14ac:dyDescent="0.25">
      <c r="A37" s="1" t="s">
        <v>1016</v>
      </c>
      <c r="B37" s="1" t="s">
        <v>1017</v>
      </c>
      <c r="C37" s="1" t="s">
        <v>1023</v>
      </c>
      <c r="D37" s="1" t="s">
        <v>1024</v>
      </c>
      <c r="E37" s="95" t="s">
        <v>0</v>
      </c>
      <c r="G37" s="1" t="s">
        <v>0</v>
      </c>
      <c r="H37" s="1" t="s">
        <v>1018</v>
      </c>
      <c r="I37" s="1" t="s">
        <v>1019</v>
      </c>
      <c r="J37" s="97" t="str">
        <f t="shared" si="0"/>
        <v>loadMibOLD(pathMibFolder + "");</v>
      </c>
    </row>
    <row r="38" spans="1:10" x14ac:dyDescent="0.25">
      <c r="A38" s="1" t="s">
        <v>1016</v>
      </c>
      <c r="B38" s="1" t="s">
        <v>1017</v>
      </c>
      <c r="C38" s="1" t="s">
        <v>1023</v>
      </c>
      <c r="D38" s="1" t="s">
        <v>1024</v>
      </c>
      <c r="E38" s="95" t="s">
        <v>0</v>
      </c>
      <c r="G38" s="1" t="s">
        <v>0</v>
      </c>
      <c r="H38" s="1" t="s">
        <v>1018</v>
      </c>
      <c r="I38" s="1" t="s">
        <v>1019</v>
      </c>
      <c r="J38" s="97" t="str">
        <f t="shared" si="0"/>
        <v>loadMibOLD(pathMibFolder + "");</v>
      </c>
    </row>
    <row r="39" spans="1:10" x14ac:dyDescent="0.25">
      <c r="A39" s="1" t="s">
        <v>1016</v>
      </c>
      <c r="B39" s="1" t="s">
        <v>1017</v>
      </c>
      <c r="C39" s="1" t="s">
        <v>1023</v>
      </c>
      <c r="D39" s="1" t="s">
        <v>1024</v>
      </c>
      <c r="E39" s="95" t="s">
        <v>0</v>
      </c>
      <c r="G39" s="1" t="s">
        <v>0</v>
      </c>
      <c r="H39" s="1" t="s">
        <v>1018</v>
      </c>
      <c r="I39" s="1" t="s">
        <v>1019</v>
      </c>
      <c r="J39" s="97" t="str">
        <f t="shared" si="0"/>
        <v>loadMibOLD(pathMibFolder + "");</v>
      </c>
    </row>
    <row r="40" spans="1:10" x14ac:dyDescent="0.25">
      <c r="A40" s="1" t="s">
        <v>1016</v>
      </c>
      <c r="B40" s="1" t="s">
        <v>1017</v>
      </c>
      <c r="C40" s="1" t="s">
        <v>1023</v>
      </c>
      <c r="D40" s="1" t="s">
        <v>1024</v>
      </c>
      <c r="E40" s="95" t="s">
        <v>0</v>
      </c>
      <c r="G40" s="1" t="s">
        <v>0</v>
      </c>
      <c r="H40" s="1" t="s">
        <v>1018</v>
      </c>
      <c r="I40" s="1" t="s">
        <v>1019</v>
      </c>
      <c r="J40" s="97" t="str">
        <f t="shared" si="0"/>
        <v>loadMibOLD(pathMibFolder + "");</v>
      </c>
    </row>
    <row r="41" spans="1:10" x14ac:dyDescent="0.25">
      <c r="A41" s="1" t="s">
        <v>1016</v>
      </c>
      <c r="B41" s="1" t="s">
        <v>1017</v>
      </c>
      <c r="C41" s="1" t="s">
        <v>1023</v>
      </c>
      <c r="D41" s="1" t="s">
        <v>1024</v>
      </c>
      <c r="E41" s="95" t="s">
        <v>0</v>
      </c>
      <c r="G41" s="1" t="s">
        <v>0</v>
      </c>
      <c r="H41" s="1" t="s">
        <v>1018</v>
      </c>
      <c r="I41" s="1" t="s">
        <v>1019</v>
      </c>
      <c r="J41" s="97" t="str">
        <f t="shared" si="0"/>
        <v>loadMibOLD(pathMibFolder + "");</v>
      </c>
    </row>
    <row r="42" spans="1:10" x14ac:dyDescent="0.25">
      <c r="A42" s="1" t="s">
        <v>1016</v>
      </c>
      <c r="B42" s="1" t="s">
        <v>1017</v>
      </c>
      <c r="C42" s="1" t="s">
        <v>1023</v>
      </c>
      <c r="D42" s="1" t="s">
        <v>1024</v>
      </c>
      <c r="E42" s="95" t="s">
        <v>0</v>
      </c>
      <c r="G42" s="1" t="s">
        <v>0</v>
      </c>
      <c r="H42" s="1" t="s">
        <v>1018</v>
      </c>
      <c r="I42" s="1" t="s">
        <v>1019</v>
      </c>
      <c r="J42" s="97" t="str">
        <f t="shared" si="0"/>
        <v>loadMibOLD(pathMibFolder + "");</v>
      </c>
    </row>
    <row r="43" spans="1:10" x14ac:dyDescent="0.25">
      <c r="A43" s="1" t="s">
        <v>1016</v>
      </c>
      <c r="B43" s="1" t="s">
        <v>1017</v>
      </c>
      <c r="C43" s="1" t="s">
        <v>1023</v>
      </c>
      <c r="D43" s="1" t="s">
        <v>1024</v>
      </c>
      <c r="E43" s="95" t="s">
        <v>0</v>
      </c>
      <c r="G43" s="1" t="s">
        <v>0</v>
      </c>
      <c r="H43" s="1" t="s">
        <v>1018</v>
      </c>
      <c r="I43" s="1" t="s">
        <v>1019</v>
      </c>
      <c r="J43" s="97" t="str">
        <f t="shared" si="0"/>
        <v>loadMibOLD(pathMibFolder + "");</v>
      </c>
    </row>
    <row r="44" spans="1:10" x14ac:dyDescent="0.25">
      <c r="A44" s="1" t="s">
        <v>1016</v>
      </c>
      <c r="B44" s="1" t="s">
        <v>1017</v>
      </c>
      <c r="C44" s="1" t="s">
        <v>1023</v>
      </c>
      <c r="D44" s="1" t="s">
        <v>1024</v>
      </c>
      <c r="E44" s="95" t="s">
        <v>0</v>
      </c>
      <c r="G44" s="1" t="s">
        <v>0</v>
      </c>
      <c r="H44" s="1" t="s">
        <v>1018</v>
      </c>
      <c r="I44" s="1" t="s">
        <v>1019</v>
      </c>
      <c r="J44" s="97" t="str">
        <f t="shared" si="0"/>
        <v>loadMibOLD(pathMibFolder + "");</v>
      </c>
    </row>
    <row r="45" spans="1:10" x14ac:dyDescent="0.25">
      <c r="A45" s="1" t="s">
        <v>1016</v>
      </c>
      <c r="B45" s="1" t="s">
        <v>1017</v>
      </c>
      <c r="C45" s="1" t="s">
        <v>1023</v>
      </c>
      <c r="D45" s="1" t="s">
        <v>1024</v>
      </c>
      <c r="E45" s="95" t="s">
        <v>0</v>
      </c>
      <c r="G45" s="1" t="s">
        <v>0</v>
      </c>
      <c r="H45" s="1" t="s">
        <v>1018</v>
      </c>
      <c r="I45" s="1" t="s">
        <v>1019</v>
      </c>
      <c r="J45" s="97" t="str">
        <f t="shared" si="0"/>
        <v>loadMibOLD(pathMibFolder + "");</v>
      </c>
    </row>
    <row r="46" spans="1:10" x14ac:dyDescent="0.25">
      <c r="A46" s="1" t="s">
        <v>1016</v>
      </c>
      <c r="B46" s="1" t="s">
        <v>1017</v>
      </c>
      <c r="C46" s="1" t="s">
        <v>1023</v>
      </c>
      <c r="D46" s="1" t="s">
        <v>1024</v>
      </c>
      <c r="E46" s="95" t="s">
        <v>0</v>
      </c>
      <c r="G46" s="1" t="s">
        <v>0</v>
      </c>
      <c r="H46" s="1" t="s">
        <v>1018</v>
      </c>
      <c r="I46" s="1" t="s">
        <v>1019</v>
      </c>
      <c r="J46" s="97" t="str">
        <f t="shared" si="0"/>
        <v>loadMibOLD(pathMibFolder + "");</v>
      </c>
    </row>
    <row r="47" spans="1:10" x14ac:dyDescent="0.25">
      <c r="A47" s="1" t="s">
        <v>1016</v>
      </c>
      <c r="B47" s="1" t="s">
        <v>1017</v>
      </c>
      <c r="C47" s="1" t="s">
        <v>1023</v>
      </c>
      <c r="D47" s="1" t="s">
        <v>1024</v>
      </c>
      <c r="E47" s="95" t="s">
        <v>0</v>
      </c>
      <c r="G47" s="1" t="s">
        <v>0</v>
      </c>
      <c r="H47" s="1" t="s">
        <v>1018</v>
      </c>
      <c r="I47" s="1" t="s">
        <v>1019</v>
      </c>
      <c r="J47" s="97" t="str">
        <f t="shared" si="0"/>
        <v>loadMibOLD(pathMibFolder + "");</v>
      </c>
    </row>
    <row r="48" spans="1:10" x14ac:dyDescent="0.25">
      <c r="A48" s="1" t="s">
        <v>1016</v>
      </c>
      <c r="B48" s="1" t="s">
        <v>1017</v>
      </c>
      <c r="C48" s="1" t="s">
        <v>1023</v>
      </c>
      <c r="D48" s="1" t="s">
        <v>1024</v>
      </c>
      <c r="E48" s="95" t="s">
        <v>0</v>
      </c>
      <c r="G48" s="1" t="s">
        <v>0</v>
      </c>
      <c r="H48" s="1" t="s">
        <v>1018</v>
      </c>
      <c r="I48" s="1" t="s">
        <v>1019</v>
      </c>
      <c r="J48" s="97" t="str">
        <f t="shared" si="0"/>
        <v>loadMibOLD(pathMibFolder + "");</v>
      </c>
    </row>
    <row r="49" spans="1:10" x14ac:dyDescent="0.25">
      <c r="A49" s="1" t="s">
        <v>1016</v>
      </c>
      <c r="B49" s="1" t="s">
        <v>1017</v>
      </c>
      <c r="C49" s="1" t="s">
        <v>1023</v>
      </c>
      <c r="D49" s="1" t="s">
        <v>1024</v>
      </c>
      <c r="E49" s="95" t="s">
        <v>0</v>
      </c>
      <c r="G49" s="1" t="s">
        <v>0</v>
      </c>
      <c r="H49" s="1" t="s">
        <v>1018</v>
      </c>
      <c r="I49" s="1" t="s">
        <v>1019</v>
      </c>
      <c r="J49" s="97" t="str">
        <f t="shared" si="0"/>
        <v>loadMibOLD(pathMibFolder + "");</v>
      </c>
    </row>
    <row r="50" spans="1:10" x14ac:dyDescent="0.25">
      <c r="A50" s="1" t="s">
        <v>1016</v>
      </c>
      <c r="B50" s="1" t="s">
        <v>1017</v>
      </c>
      <c r="C50" s="1" t="s">
        <v>1023</v>
      </c>
      <c r="D50" s="1" t="s">
        <v>1024</v>
      </c>
      <c r="E50" s="95" t="s">
        <v>0</v>
      </c>
      <c r="G50" s="1" t="s">
        <v>0</v>
      </c>
      <c r="H50" s="1" t="s">
        <v>1018</v>
      </c>
      <c r="I50" s="1" t="s">
        <v>1019</v>
      </c>
      <c r="J50" s="97" t="str">
        <f t="shared" si="0"/>
        <v>loadMibOLD(pathMibFolder + "");</v>
      </c>
    </row>
    <row r="51" spans="1:10" x14ac:dyDescent="0.25">
      <c r="A51" s="1" t="s">
        <v>1016</v>
      </c>
      <c r="B51" s="1" t="s">
        <v>1017</v>
      </c>
      <c r="C51" s="1" t="s">
        <v>1023</v>
      </c>
      <c r="D51" s="1" t="s">
        <v>1024</v>
      </c>
      <c r="E51" s="95" t="s">
        <v>0</v>
      </c>
      <c r="G51" s="1" t="s">
        <v>0</v>
      </c>
      <c r="H51" s="1" t="s">
        <v>1018</v>
      </c>
      <c r="I51" s="1" t="s">
        <v>1019</v>
      </c>
      <c r="J51" s="97" t="str">
        <f t="shared" si="0"/>
        <v>loadMibOLD(pathMibFolder + "");</v>
      </c>
    </row>
    <row r="52" spans="1:10" x14ac:dyDescent="0.25">
      <c r="A52" s="1" t="s">
        <v>1016</v>
      </c>
      <c r="B52" s="1" t="s">
        <v>1017</v>
      </c>
      <c r="C52" s="1" t="s">
        <v>1023</v>
      </c>
      <c r="D52" s="1" t="s">
        <v>1024</v>
      </c>
      <c r="E52" s="95" t="s">
        <v>0</v>
      </c>
      <c r="G52" s="1" t="s">
        <v>0</v>
      </c>
      <c r="H52" s="1" t="s">
        <v>1018</v>
      </c>
      <c r="I52" s="1" t="s">
        <v>1019</v>
      </c>
      <c r="J52" s="97" t="str">
        <f t="shared" si="0"/>
        <v>loadMibOLD(pathMibFolder + "");</v>
      </c>
    </row>
    <row r="53" spans="1:10" x14ac:dyDescent="0.25">
      <c r="A53" s="1" t="s">
        <v>1016</v>
      </c>
      <c r="B53" s="1" t="s">
        <v>1017</v>
      </c>
      <c r="C53" s="1" t="s">
        <v>1023</v>
      </c>
      <c r="D53" s="1" t="s">
        <v>1024</v>
      </c>
      <c r="E53" s="95" t="s">
        <v>0</v>
      </c>
      <c r="G53" s="1" t="s">
        <v>0</v>
      </c>
      <c r="H53" s="1" t="s">
        <v>1018</v>
      </c>
      <c r="I53" s="1" t="s">
        <v>1019</v>
      </c>
      <c r="J53" s="97" t="str">
        <f t="shared" si="0"/>
        <v>loadMibOLD(pathMibFolder + "");</v>
      </c>
    </row>
    <row r="54" spans="1:10" x14ac:dyDescent="0.25">
      <c r="A54" s="1" t="s">
        <v>1016</v>
      </c>
      <c r="B54" s="1" t="s">
        <v>1017</v>
      </c>
      <c r="C54" s="1" t="s">
        <v>1023</v>
      </c>
      <c r="D54" s="1" t="s">
        <v>1024</v>
      </c>
      <c r="E54" s="95" t="s">
        <v>0</v>
      </c>
      <c r="G54" s="1" t="s">
        <v>0</v>
      </c>
      <c r="H54" s="1" t="s">
        <v>1018</v>
      </c>
      <c r="I54" s="1" t="s">
        <v>1019</v>
      </c>
      <c r="J54" s="97" t="str">
        <f t="shared" si="0"/>
        <v>loadMibOLD(pathMibFolder + "");</v>
      </c>
    </row>
    <row r="55" spans="1:10" x14ac:dyDescent="0.25">
      <c r="A55" s="1" t="s">
        <v>1016</v>
      </c>
      <c r="B55" s="1" t="s">
        <v>1017</v>
      </c>
      <c r="C55" s="1" t="s">
        <v>1023</v>
      </c>
      <c r="D55" s="1" t="s">
        <v>1024</v>
      </c>
      <c r="E55" s="95" t="s">
        <v>0</v>
      </c>
      <c r="G55" s="1" t="s">
        <v>0</v>
      </c>
      <c r="H55" s="1" t="s">
        <v>1018</v>
      </c>
      <c r="I55" s="1" t="s">
        <v>1019</v>
      </c>
      <c r="J55" s="97" t="str">
        <f t="shared" si="0"/>
        <v>loadMibOLD(pathMibFolder + "");</v>
      </c>
    </row>
    <row r="56" spans="1:10" x14ac:dyDescent="0.25">
      <c r="A56" s="1" t="s">
        <v>1016</v>
      </c>
      <c r="B56" s="1" t="s">
        <v>1017</v>
      </c>
      <c r="C56" s="1" t="s">
        <v>1023</v>
      </c>
      <c r="D56" s="1" t="s">
        <v>1024</v>
      </c>
      <c r="E56" s="95" t="s">
        <v>0</v>
      </c>
      <c r="G56" s="1" t="s">
        <v>0</v>
      </c>
      <c r="H56" s="1" t="s">
        <v>1018</v>
      </c>
      <c r="I56" s="1" t="s">
        <v>1019</v>
      </c>
      <c r="J56" s="97" t="str">
        <f t="shared" si="0"/>
        <v>loadMibOLD(pathMibFolder + "");</v>
      </c>
    </row>
    <row r="57" spans="1:10" x14ac:dyDescent="0.25">
      <c r="A57" s="1" t="s">
        <v>1016</v>
      </c>
      <c r="B57" s="1" t="s">
        <v>1017</v>
      </c>
      <c r="C57" s="1" t="s">
        <v>1023</v>
      </c>
      <c r="D57" s="1" t="s">
        <v>1024</v>
      </c>
      <c r="E57" s="95" t="s">
        <v>0</v>
      </c>
      <c r="G57" s="1" t="s">
        <v>0</v>
      </c>
      <c r="H57" s="1" t="s">
        <v>1018</v>
      </c>
      <c r="I57" s="1" t="s">
        <v>1019</v>
      </c>
      <c r="J57" s="97" t="str">
        <f t="shared" si="0"/>
        <v>loadMibOLD(pathMibFolder + "");</v>
      </c>
    </row>
    <row r="58" spans="1:10" x14ac:dyDescent="0.25">
      <c r="A58" s="1" t="s">
        <v>1016</v>
      </c>
      <c r="B58" s="1" t="s">
        <v>1017</v>
      </c>
      <c r="C58" s="1" t="s">
        <v>1023</v>
      </c>
      <c r="D58" s="1" t="s">
        <v>1024</v>
      </c>
      <c r="E58" s="95" t="s">
        <v>0</v>
      </c>
      <c r="G58" s="1" t="s">
        <v>0</v>
      </c>
      <c r="H58" s="1" t="s">
        <v>1018</v>
      </c>
      <c r="I58" s="1" t="s">
        <v>1019</v>
      </c>
      <c r="J58" s="97" t="str">
        <f t="shared" si="0"/>
        <v>loadMibOLD(pathMibFolder + "");</v>
      </c>
    </row>
    <row r="59" spans="1:10" x14ac:dyDescent="0.25">
      <c r="A59" s="1" t="s">
        <v>1016</v>
      </c>
      <c r="B59" s="1" t="s">
        <v>1017</v>
      </c>
      <c r="C59" s="1" t="s">
        <v>1023</v>
      </c>
      <c r="D59" s="1" t="s">
        <v>1024</v>
      </c>
      <c r="E59" s="95" t="s">
        <v>0</v>
      </c>
      <c r="G59" s="1" t="s">
        <v>0</v>
      </c>
      <c r="H59" s="1" t="s">
        <v>1018</v>
      </c>
      <c r="I59" s="1" t="s">
        <v>1019</v>
      </c>
      <c r="J59" s="97" t="str">
        <f t="shared" si="0"/>
        <v>loadMibOLD(pathMibFolder + "");</v>
      </c>
    </row>
    <row r="60" spans="1:10" x14ac:dyDescent="0.25">
      <c r="A60" s="1" t="s">
        <v>1016</v>
      </c>
      <c r="B60" s="1" t="s">
        <v>1017</v>
      </c>
      <c r="C60" s="1" t="s">
        <v>1023</v>
      </c>
      <c r="D60" s="1" t="s">
        <v>1024</v>
      </c>
      <c r="E60" s="95" t="s">
        <v>0</v>
      </c>
      <c r="G60" s="1" t="s">
        <v>0</v>
      </c>
      <c r="H60" s="1" t="s">
        <v>1018</v>
      </c>
      <c r="I60" s="1" t="s">
        <v>1019</v>
      </c>
      <c r="J60" s="97" t="str">
        <f t="shared" si="0"/>
        <v>loadMibOLD(pathMibFolder + "");</v>
      </c>
    </row>
    <row r="61" spans="1:10" x14ac:dyDescent="0.25">
      <c r="A61" s="1" t="s">
        <v>1016</v>
      </c>
      <c r="B61" s="1" t="s">
        <v>1017</v>
      </c>
      <c r="C61" s="1" t="s">
        <v>1023</v>
      </c>
      <c r="D61" s="1" t="s">
        <v>1024</v>
      </c>
      <c r="E61" s="95" t="s">
        <v>0</v>
      </c>
      <c r="G61" s="1" t="s">
        <v>0</v>
      </c>
      <c r="H61" s="1" t="s">
        <v>1018</v>
      </c>
      <c r="I61" s="1" t="s">
        <v>1019</v>
      </c>
      <c r="J61" s="97" t="str">
        <f t="shared" si="0"/>
        <v>loadMibOLD(pathMibFolder + "");</v>
      </c>
    </row>
    <row r="62" spans="1:10" x14ac:dyDescent="0.25">
      <c r="A62" s="1" t="s">
        <v>1016</v>
      </c>
      <c r="B62" s="1" t="s">
        <v>1017</v>
      </c>
      <c r="C62" s="1" t="s">
        <v>1023</v>
      </c>
      <c r="D62" s="1" t="s">
        <v>1024</v>
      </c>
      <c r="E62" s="95" t="s">
        <v>0</v>
      </c>
      <c r="G62" s="1" t="s">
        <v>0</v>
      </c>
      <c r="H62" s="1" t="s">
        <v>1018</v>
      </c>
      <c r="I62" s="1" t="s">
        <v>1019</v>
      </c>
      <c r="J62" s="97" t="str">
        <f t="shared" si="0"/>
        <v>loadMibOLD(pathMibFolder + "");</v>
      </c>
    </row>
    <row r="63" spans="1:10" x14ac:dyDescent="0.25">
      <c r="A63" s="1" t="s">
        <v>1016</v>
      </c>
      <c r="B63" s="1" t="s">
        <v>1017</v>
      </c>
      <c r="C63" s="1" t="s">
        <v>1023</v>
      </c>
      <c r="D63" s="1" t="s">
        <v>1024</v>
      </c>
      <c r="E63" s="95" t="s">
        <v>0</v>
      </c>
      <c r="G63" s="1" t="s">
        <v>0</v>
      </c>
      <c r="H63" s="1" t="s">
        <v>1018</v>
      </c>
      <c r="I63" s="1" t="s">
        <v>1019</v>
      </c>
      <c r="J63" s="97" t="str">
        <f t="shared" si="0"/>
        <v>loadMibOLD(pathMibFolder + "");</v>
      </c>
    </row>
    <row r="64" spans="1:10" x14ac:dyDescent="0.25">
      <c r="A64" s="1" t="s">
        <v>1016</v>
      </c>
      <c r="B64" s="1" t="s">
        <v>1017</v>
      </c>
      <c r="C64" s="1" t="s">
        <v>1023</v>
      </c>
      <c r="D64" s="1" t="s">
        <v>1024</v>
      </c>
      <c r="E64" s="95" t="s">
        <v>0</v>
      </c>
      <c r="G64" s="1" t="s">
        <v>0</v>
      </c>
      <c r="H64" s="1" t="s">
        <v>1018</v>
      </c>
      <c r="I64" s="1" t="s">
        <v>1019</v>
      </c>
      <c r="J64" s="97" t="str">
        <f t="shared" si="0"/>
        <v>loadMibOLD(pathMibFolder + "");</v>
      </c>
    </row>
    <row r="65" spans="1:10" x14ac:dyDescent="0.25">
      <c r="A65" s="1" t="s">
        <v>1016</v>
      </c>
      <c r="B65" s="1" t="s">
        <v>1017</v>
      </c>
      <c r="C65" s="1" t="s">
        <v>1023</v>
      </c>
      <c r="D65" s="1" t="s">
        <v>1024</v>
      </c>
      <c r="E65" s="95" t="s">
        <v>0</v>
      </c>
      <c r="G65" s="1" t="s">
        <v>0</v>
      </c>
      <c r="H65" s="1" t="s">
        <v>1018</v>
      </c>
      <c r="I65" s="1" t="s">
        <v>1019</v>
      </c>
      <c r="J65" s="97" t="str">
        <f t="shared" si="0"/>
        <v>loadMibOLD(pathMibFolder + "");</v>
      </c>
    </row>
    <row r="66" spans="1:10" x14ac:dyDescent="0.25">
      <c r="A66" s="1" t="s">
        <v>1016</v>
      </c>
      <c r="B66" s="1" t="s">
        <v>1017</v>
      </c>
      <c r="C66" s="1" t="s">
        <v>1023</v>
      </c>
      <c r="D66" s="1" t="s">
        <v>1024</v>
      </c>
      <c r="E66" s="95" t="s">
        <v>0</v>
      </c>
      <c r="G66" s="1" t="s">
        <v>0</v>
      </c>
      <c r="H66" s="1" t="s">
        <v>1018</v>
      </c>
      <c r="I66" s="1" t="s">
        <v>1019</v>
      </c>
      <c r="J66" s="97" t="str">
        <f t="shared" ref="J66:J125" si="1">A66&amp;B66&amp;C66&amp;D66&amp;E66&amp;F66&amp;G66&amp;H66&amp;I66</f>
        <v>loadMibOLD(pathMibFolder + "");</v>
      </c>
    </row>
    <row r="67" spans="1:10" x14ac:dyDescent="0.25">
      <c r="A67" s="1" t="s">
        <v>1016</v>
      </c>
      <c r="B67" s="1" t="s">
        <v>1017</v>
      </c>
      <c r="C67" s="1" t="s">
        <v>1023</v>
      </c>
      <c r="D67" s="1" t="s">
        <v>1024</v>
      </c>
      <c r="E67" s="95" t="s">
        <v>0</v>
      </c>
      <c r="G67" s="1" t="s">
        <v>0</v>
      </c>
      <c r="H67" s="1" t="s">
        <v>1018</v>
      </c>
      <c r="I67" s="1" t="s">
        <v>1019</v>
      </c>
      <c r="J67" s="97" t="str">
        <f t="shared" si="1"/>
        <v>loadMibOLD(pathMibFolder + "");</v>
      </c>
    </row>
    <row r="68" spans="1:10" x14ac:dyDescent="0.25">
      <c r="A68" s="1" t="s">
        <v>1016</v>
      </c>
      <c r="B68" s="1" t="s">
        <v>1017</v>
      </c>
      <c r="C68" s="1" t="s">
        <v>1023</v>
      </c>
      <c r="D68" s="1" t="s">
        <v>1024</v>
      </c>
      <c r="E68" s="95" t="s">
        <v>0</v>
      </c>
      <c r="G68" s="1" t="s">
        <v>0</v>
      </c>
      <c r="H68" s="1" t="s">
        <v>1018</v>
      </c>
      <c r="I68" s="1" t="s">
        <v>1019</v>
      </c>
      <c r="J68" s="97" t="str">
        <f t="shared" si="1"/>
        <v>loadMibOLD(pathMibFolder + "");</v>
      </c>
    </row>
    <row r="69" spans="1:10" x14ac:dyDescent="0.25">
      <c r="A69" s="1" t="s">
        <v>1016</v>
      </c>
      <c r="B69" s="1" t="s">
        <v>1017</v>
      </c>
      <c r="C69" s="1" t="s">
        <v>1023</v>
      </c>
      <c r="D69" s="1" t="s">
        <v>1024</v>
      </c>
      <c r="E69" s="95" t="s">
        <v>0</v>
      </c>
      <c r="G69" s="1" t="s">
        <v>0</v>
      </c>
      <c r="H69" s="1" t="s">
        <v>1018</v>
      </c>
      <c r="I69" s="1" t="s">
        <v>1019</v>
      </c>
      <c r="J69" s="97" t="str">
        <f t="shared" si="1"/>
        <v>loadMibOLD(pathMibFolder + "");</v>
      </c>
    </row>
    <row r="70" spans="1:10" x14ac:dyDescent="0.25">
      <c r="A70" s="1" t="s">
        <v>1016</v>
      </c>
      <c r="B70" s="1" t="s">
        <v>1017</v>
      </c>
      <c r="C70" s="1" t="s">
        <v>1023</v>
      </c>
      <c r="D70" s="1" t="s">
        <v>1024</v>
      </c>
      <c r="E70" s="95" t="s">
        <v>0</v>
      </c>
      <c r="G70" s="1" t="s">
        <v>0</v>
      </c>
      <c r="H70" s="1" t="s">
        <v>1018</v>
      </c>
      <c r="I70" s="1" t="s">
        <v>1019</v>
      </c>
      <c r="J70" s="97" t="str">
        <f t="shared" si="1"/>
        <v>loadMibOLD(pathMibFolder + "");</v>
      </c>
    </row>
    <row r="71" spans="1:10" x14ac:dyDescent="0.25">
      <c r="A71" s="1" t="s">
        <v>1016</v>
      </c>
      <c r="B71" s="1" t="s">
        <v>1017</v>
      </c>
      <c r="C71" s="1" t="s">
        <v>1023</v>
      </c>
      <c r="D71" s="1" t="s">
        <v>1024</v>
      </c>
      <c r="E71" s="95" t="s">
        <v>0</v>
      </c>
      <c r="G71" s="1" t="s">
        <v>0</v>
      </c>
      <c r="H71" s="1" t="s">
        <v>1018</v>
      </c>
      <c r="I71" s="1" t="s">
        <v>1019</v>
      </c>
      <c r="J71" s="97" t="str">
        <f t="shared" si="1"/>
        <v>loadMibOLD(pathMibFolder + "");</v>
      </c>
    </row>
    <row r="72" spans="1:10" x14ac:dyDescent="0.25">
      <c r="A72" s="1" t="s">
        <v>1016</v>
      </c>
      <c r="B72" s="1" t="s">
        <v>1017</v>
      </c>
      <c r="C72" s="1" t="s">
        <v>1023</v>
      </c>
      <c r="D72" s="1" t="s">
        <v>1024</v>
      </c>
      <c r="E72" s="95" t="s">
        <v>0</v>
      </c>
      <c r="G72" s="1" t="s">
        <v>0</v>
      </c>
      <c r="H72" s="1" t="s">
        <v>1018</v>
      </c>
      <c r="I72" s="1" t="s">
        <v>1019</v>
      </c>
      <c r="J72" s="97" t="str">
        <f t="shared" si="1"/>
        <v>loadMibOLD(pathMibFolder + "");</v>
      </c>
    </row>
    <row r="73" spans="1:10" x14ac:dyDescent="0.25">
      <c r="A73" s="1" t="s">
        <v>1016</v>
      </c>
      <c r="B73" s="1" t="s">
        <v>1017</v>
      </c>
      <c r="C73" s="1" t="s">
        <v>1023</v>
      </c>
      <c r="D73" s="1" t="s">
        <v>1024</v>
      </c>
      <c r="E73" s="95" t="s">
        <v>0</v>
      </c>
      <c r="G73" s="1" t="s">
        <v>0</v>
      </c>
      <c r="H73" s="1" t="s">
        <v>1018</v>
      </c>
      <c r="I73" s="1" t="s">
        <v>1019</v>
      </c>
      <c r="J73" s="97" t="str">
        <f t="shared" si="1"/>
        <v>loadMibOLD(pathMibFolder + "");</v>
      </c>
    </row>
    <row r="74" spans="1:10" x14ac:dyDescent="0.25">
      <c r="A74" s="1" t="s">
        <v>1016</v>
      </c>
      <c r="B74" s="1" t="s">
        <v>1017</v>
      </c>
      <c r="C74" s="1" t="s">
        <v>1023</v>
      </c>
      <c r="D74" s="1" t="s">
        <v>1024</v>
      </c>
      <c r="E74" s="95" t="s">
        <v>0</v>
      </c>
      <c r="G74" s="1" t="s">
        <v>0</v>
      </c>
      <c r="H74" s="1" t="s">
        <v>1018</v>
      </c>
      <c r="I74" s="1" t="s">
        <v>1019</v>
      </c>
      <c r="J74" s="97" t="str">
        <f t="shared" si="1"/>
        <v>loadMibOLD(pathMibFolder + "");</v>
      </c>
    </row>
    <row r="75" spans="1:10" x14ac:dyDescent="0.25">
      <c r="A75" s="1" t="s">
        <v>1016</v>
      </c>
      <c r="B75" s="1" t="s">
        <v>1017</v>
      </c>
      <c r="C75" s="1" t="s">
        <v>1023</v>
      </c>
      <c r="D75" s="1" t="s">
        <v>1024</v>
      </c>
      <c r="E75" s="95" t="s">
        <v>0</v>
      </c>
      <c r="G75" s="1" t="s">
        <v>0</v>
      </c>
      <c r="H75" s="1" t="s">
        <v>1018</v>
      </c>
      <c r="I75" s="1" t="s">
        <v>1019</v>
      </c>
      <c r="J75" s="97" t="str">
        <f t="shared" si="1"/>
        <v>loadMibOLD(pathMibFolder + "");</v>
      </c>
    </row>
    <row r="76" spans="1:10" x14ac:dyDescent="0.25">
      <c r="A76" s="1" t="s">
        <v>1016</v>
      </c>
      <c r="B76" s="1" t="s">
        <v>1017</v>
      </c>
      <c r="C76" s="1" t="s">
        <v>1023</v>
      </c>
      <c r="D76" s="1" t="s">
        <v>1024</v>
      </c>
      <c r="E76" s="95" t="s">
        <v>0</v>
      </c>
      <c r="G76" s="1" t="s">
        <v>0</v>
      </c>
      <c r="H76" s="1" t="s">
        <v>1018</v>
      </c>
      <c r="I76" s="1" t="s">
        <v>1019</v>
      </c>
      <c r="J76" s="97" t="str">
        <f t="shared" si="1"/>
        <v>loadMibOLD(pathMibFolder + "");</v>
      </c>
    </row>
    <row r="77" spans="1:10" x14ac:dyDescent="0.25">
      <c r="A77" s="1" t="s">
        <v>1016</v>
      </c>
      <c r="B77" s="1" t="s">
        <v>1017</v>
      </c>
      <c r="C77" s="1" t="s">
        <v>1023</v>
      </c>
      <c r="D77" s="1" t="s">
        <v>1024</v>
      </c>
      <c r="E77" s="95" t="s">
        <v>0</v>
      </c>
      <c r="G77" s="1" t="s">
        <v>0</v>
      </c>
      <c r="H77" s="1" t="s">
        <v>1018</v>
      </c>
      <c r="I77" s="1" t="s">
        <v>1019</v>
      </c>
      <c r="J77" s="97" t="str">
        <f t="shared" si="1"/>
        <v>loadMibOLD(pathMibFolder + "");</v>
      </c>
    </row>
    <row r="78" spans="1:10" x14ac:dyDescent="0.25">
      <c r="A78" s="1" t="s">
        <v>1016</v>
      </c>
      <c r="B78" s="1" t="s">
        <v>1017</v>
      </c>
      <c r="C78" s="1" t="s">
        <v>1023</v>
      </c>
      <c r="D78" s="1" t="s">
        <v>1024</v>
      </c>
      <c r="E78" s="95" t="s">
        <v>0</v>
      </c>
      <c r="G78" s="1" t="s">
        <v>0</v>
      </c>
      <c r="H78" s="1" t="s">
        <v>1018</v>
      </c>
      <c r="I78" s="1" t="s">
        <v>1019</v>
      </c>
      <c r="J78" s="97" t="str">
        <f t="shared" si="1"/>
        <v>loadMibOLD(pathMibFolder + "");</v>
      </c>
    </row>
    <row r="79" spans="1:10" x14ac:dyDescent="0.25">
      <c r="A79" s="1" t="s">
        <v>1016</v>
      </c>
      <c r="B79" s="1" t="s">
        <v>1017</v>
      </c>
      <c r="C79" s="1" t="s">
        <v>1023</v>
      </c>
      <c r="D79" s="1" t="s">
        <v>1024</v>
      </c>
      <c r="E79" s="95" t="s">
        <v>0</v>
      </c>
      <c r="G79" s="1" t="s">
        <v>0</v>
      </c>
      <c r="H79" s="1" t="s">
        <v>1018</v>
      </c>
      <c r="I79" s="1" t="s">
        <v>1019</v>
      </c>
      <c r="J79" s="97" t="str">
        <f t="shared" si="1"/>
        <v>loadMibOLD(pathMibFolder + "");</v>
      </c>
    </row>
    <row r="80" spans="1:10" x14ac:dyDescent="0.25">
      <c r="A80" s="1" t="s">
        <v>1016</v>
      </c>
      <c r="B80" s="1" t="s">
        <v>1017</v>
      </c>
      <c r="C80" s="1" t="s">
        <v>1023</v>
      </c>
      <c r="D80" s="1" t="s">
        <v>1024</v>
      </c>
      <c r="E80" s="95" t="s">
        <v>0</v>
      </c>
      <c r="G80" s="1" t="s">
        <v>0</v>
      </c>
      <c r="H80" s="1" t="s">
        <v>1018</v>
      </c>
      <c r="I80" s="1" t="s">
        <v>1019</v>
      </c>
      <c r="J80" s="97" t="str">
        <f t="shared" si="1"/>
        <v>loadMibOLD(pathMibFolder + "");</v>
      </c>
    </row>
    <row r="81" spans="1:10" x14ac:dyDescent="0.25">
      <c r="A81" s="1" t="s">
        <v>1016</v>
      </c>
      <c r="B81" s="1" t="s">
        <v>1017</v>
      </c>
      <c r="C81" s="1" t="s">
        <v>1023</v>
      </c>
      <c r="D81" s="1" t="s">
        <v>1024</v>
      </c>
      <c r="E81" s="95" t="s">
        <v>0</v>
      </c>
      <c r="G81" s="1" t="s">
        <v>0</v>
      </c>
      <c r="H81" s="1" t="s">
        <v>1018</v>
      </c>
      <c r="I81" s="1" t="s">
        <v>1019</v>
      </c>
      <c r="J81" s="97" t="str">
        <f t="shared" si="1"/>
        <v>loadMibOLD(pathMibFolder + "");</v>
      </c>
    </row>
    <row r="82" spans="1:10" x14ac:dyDescent="0.25">
      <c r="A82" s="1" t="s">
        <v>1016</v>
      </c>
      <c r="B82" s="1" t="s">
        <v>1017</v>
      </c>
      <c r="C82" s="1" t="s">
        <v>1023</v>
      </c>
      <c r="D82" s="1" t="s">
        <v>1024</v>
      </c>
      <c r="E82" s="95" t="s">
        <v>0</v>
      </c>
      <c r="G82" s="1" t="s">
        <v>0</v>
      </c>
      <c r="H82" s="1" t="s">
        <v>1018</v>
      </c>
      <c r="I82" s="1" t="s">
        <v>1019</v>
      </c>
      <c r="J82" s="97" t="str">
        <f t="shared" si="1"/>
        <v>loadMibOLD(pathMibFolder + "");</v>
      </c>
    </row>
    <row r="83" spans="1:10" x14ac:dyDescent="0.25">
      <c r="A83" s="1" t="s">
        <v>1016</v>
      </c>
      <c r="B83" s="1" t="s">
        <v>1017</v>
      </c>
      <c r="C83" s="1" t="s">
        <v>1023</v>
      </c>
      <c r="D83" s="1" t="s">
        <v>1024</v>
      </c>
      <c r="E83" s="95" t="s">
        <v>0</v>
      </c>
      <c r="G83" s="1" t="s">
        <v>0</v>
      </c>
      <c r="H83" s="1" t="s">
        <v>1018</v>
      </c>
      <c r="I83" s="1" t="s">
        <v>1019</v>
      </c>
      <c r="J83" s="97" t="str">
        <f t="shared" si="1"/>
        <v>loadMibOLD(pathMibFolder + "");</v>
      </c>
    </row>
    <row r="84" spans="1:10" x14ac:dyDescent="0.25">
      <c r="A84" s="1" t="s">
        <v>1016</v>
      </c>
      <c r="B84" s="1" t="s">
        <v>1017</v>
      </c>
      <c r="C84" s="1" t="s">
        <v>1023</v>
      </c>
      <c r="D84" s="1" t="s">
        <v>1024</v>
      </c>
      <c r="E84" s="95" t="s">
        <v>0</v>
      </c>
      <c r="G84" s="1" t="s">
        <v>0</v>
      </c>
      <c r="H84" s="1" t="s">
        <v>1018</v>
      </c>
      <c r="I84" s="1" t="s">
        <v>1019</v>
      </c>
      <c r="J84" s="97" t="str">
        <f t="shared" si="1"/>
        <v>loadMibOLD(pathMibFolder + "");</v>
      </c>
    </row>
    <row r="85" spans="1:10" x14ac:dyDescent="0.25">
      <c r="A85" s="1" t="s">
        <v>1016</v>
      </c>
      <c r="B85" s="1" t="s">
        <v>1017</v>
      </c>
      <c r="C85" s="1" t="s">
        <v>1023</v>
      </c>
      <c r="D85" s="1" t="s">
        <v>1024</v>
      </c>
      <c r="E85" s="95" t="s">
        <v>0</v>
      </c>
      <c r="G85" s="1" t="s">
        <v>0</v>
      </c>
      <c r="H85" s="1" t="s">
        <v>1018</v>
      </c>
      <c r="I85" s="1" t="s">
        <v>1019</v>
      </c>
      <c r="J85" s="97" t="str">
        <f t="shared" si="1"/>
        <v>loadMibOLD(pathMibFolder + "");</v>
      </c>
    </row>
    <row r="86" spans="1:10" x14ac:dyDescent="0.25">
      <c r="A86" s="1" t="s">
        <v>1016</v>
      </c>
      <c r="B86" s="1" t="s">
        <v>1017</v>
      </c>
      <c r="C86" s="1" t="s">
        <v>1023</v>
      </c>
      <c r="D86" s="1" t="s">
        <v>1024</v>
      </c>
      <c r="E86" s="95" t="s">
        <v>0</v>
      </c>
      <c r="G86" s="1" t="s">
        <v>0</v>
      </c>
      <c r="H86" s="1" t="s">
        <v>1018</v>
      </c>
      <c r="I86" s="1" t="s">
        <v>1019</v>
      </c>
      <c r="J86" s="97" t="str">
        <f t="shared" si="1"/>
        <v>loadMibOLD(pathMibFolder + "");</v>
      </c>
    </row>
    <row r="87" spans="1:10" x14ac:dyDescent="0.25">
      <c r="A87" s="1" t="s">
        <v>1016</v>
      </c>
      <c r="B87" s="1" t="s">
        <v>1017</v>
      </c>
      <c r="C87" s="1" t="s">
        <v>1023</v>
      </c>
      <c r="D87" s="1" t="s">
        <v>1024</v>
      </c>
      <c r="E87" s="95" t="s">
        <v>0</v>
      </c>
      <c r="G87" s="1" t="s">
        <v>0</v>
      </c>
      <c r="H87" s="1" t="s">
        <v>1018</v>
      </c>
      <c r="I87" s="1" t="s">
        <v>1019</v>
      </c>
      <c r="J87" s="97" t="str">
        <f t="shared" si="1"/>
        <v>loadMibOLD(pathMibFolder + "");</v>
      </c>
    </row>
    <row r="88" spans="1:10" x14ac:dyDescent="0.25">
      <c r="A88" s="1" t="s">
        <v>1016</v>
      </c>
      <c r="B88" s="1" t="s">
        <v>1017</v>
      </c>
      <c r="C88" s="1" t="s">
        <v>1023</v>
      </c>
      <c r="D88" s="1" t="s">
        <v>1024</v>
      </c>
      <c r="E88" s="95" t="s">
        <v>0</v>
      </c>
      <c r="G88" s="1" t="s">
        <v>0</v>
      </c>
      <c r="H88" s="1" t="s">
        <v>1018</v>
      </c>
      <c r="I88" s="1" t="s">
        <v>1019</v>
      </c>
      <c r="J88" s="97" t="str">
        <f t="shared" si="1"/>
        <v>loadMibOLD(pathMibFolder + "");</v>
      </c>
    </row>
    <row r="89" spans="1:10" x14ac:dyDescent="0.25">
      <c r="A89" s="1" t="s">
        <v>1016</v>
      </c>
      <c r="B89" s="1" t="s">
        <v>1017</v>
      </c>
      <c r="C89" s="1" t="s">
        <v>1023</v>
      </c>
      <c r="D89" s="1" t="s">
        <v>1024</v>
      </c>
      <c r="E89" s="95" t="s">
        <v>0</v>
      </c>
      <c r="G89" s="1" t="s">
        <v>0</v>
      </c>
      <c r="H89" s="1" t="s">
        <v>1018</v>
      </c>
      <c r="I89" s="1" t="s">
        <v>1019</v>
      </c>
      <c r="J89" s="97" t="str">
        <f t="shared" si="1"/>
        <v>loadMibOLD(pathMibFolder + "");</v>
      </c>
    </row>
    <row r="90" spans="1:10" x14ac:dyDescent="0.25">
      <c r="A90" s="1" t="s">
        <v>1016</v>
      </c>
      <c r="B90" s="1" t="s">
        <v>1017</v>
      </c>
      <c r="C90" s="1" t="s">
        <v>1023</v>
      </c>
      <c r="D90" s="1" t="s">
        <v>1024</v>
      </c>
      <c r="E90" s="95" t="s">
        <v>0</v>
      </c>
      <c r="G90" s="1" t="s">
        <v>0</v>
      </c>
      <c r="H90" s="1" t="s">
        <v>1018</v>
      </c>
      <c r="I90" s="1" t="s">
        <v>1019</v>
      </c>
      <c r="J90" s="97" t="str">
        <f t="shared" si="1"/>
        <v>loadMibOLD(pathMibFolder + "");</v>
      </c>
    </row>
    <row r="91" spans="1:10" x14ac:dyDescent="0.25">
      <c r="A91" s="1" t="s">
        <v>1016</v>
      </c>
      <c r="B91" s="1" t="s">
        <v>1017</v>
      </c>
      <c r="C91" s="1" t="s">
        <v>1023</v>
      </c>
      <c r="D91" s="1" t="s">
        <v>1024</v>
      </c>
      <c r="E91" s="95" t="s">
        <v>0</v>
      </c>
      <c r="G91" s="1" t="s">
        <v>0</v>
      </c>
      <c r="H91" s="1" t="s">
        <v>1018</v>
      </c>
      <c r="I91" s="1" t="s">
        <v>1019</v>
      </c>
      <c r="J91" s="97" t="str">
        <f t="shared" si="1"/>
        <v>loadMibOLD(pathMibFolder + "");</v>
      </c>
    </row>
    <row r="92" spans="1:10" x14ac:dyDescent="0.25">
      <c r="A92" s="1" t="s">
        <v>1016</v>
      </c>
      <c r="B92" s="1" t="s">
        <v>1017</v>
      </c>
      <c r="C92" s="1" t="s">
        <v>1023</v>
      </c>
      <c r="D92" s="1" t="s">
        <v>1024</v>
      </c>
      <c r="E92" s="95" t="s">
        <v>0</v>
      </c>
      <c r="G92" s="1" t="s">
        <v>0</v>
      </c>
      <c r="H92" s="1" t="s">
        <v>1018</v>
      </c>
      <c r="I92" s="1" t="s">
        <v>1019</v>
      </c>
      <c r="J92" s="97" t="str">
        <f t="shared" si="1"/>
        <v>loadMibOLD(pathMibFolder + "");</v>
      </c>
    </row>
    <row r="93" spans="1:10" x14ac:dyDescent="0.25">
      <c r="A93" s="1" t="s">
        <v>1016</v>
      </c>
      <c r="B93" s="1" t="s">
        <v>1017</v>
      </c>
      <c r="C93" s="1" t="s">
        <v>1023</v>
      </c>
      <c r="D93" s="1" t="s">
        <v>1024</v>
      </c>
      <c r="E93" s="95" t="s">
        <v>0</v>
      </c>
      <c r="G93" s="1" t="s">
        <v>0</v>
      </c>
      <c r="H93" s="1" t="s">
        <v>1018</v>
      </c>
      <c r="I93" s="1" t="s">
        <v>1019</v>
      </c>
      <c r="J93" s="97" t="str">
        <f t="shared" si="1"/>
        <v>loadMibOLD(pathMibFolder + "");</v>
      </c>
    </row>
    <row r="94" spans="1:10" x14ac:dyDescent="0.25">
      <c r="A94" s="1" t="s">
        <v>1016</v>
      </c>
      <c r="B94" s="1" t="s">
        <v>1017</v>
      </c>
      <c r="C94" s="1" t="s">
        <v>1023</v>
      </c>
      <c r="D94" s="1" t="s">
        <v>1024</v>
      </c>
      <c r="E94" s="95" t="s">
        <v>0</v>
      </c>
      <c r="G94" s="1" t="s">
        <v>0</v>
      </c>
      <c r="H94" s="1" t="s">
        <v>1018</v>
      </c>
      <c r="I94" s="1" t="s">
        <v>1019</v>
      </c>
      <c r="J94" s="97" t="str">
        <f t="shared" si="1"/>
        <v>loadMibOLD(pathMibFolder + "");</v>
      </c>
    </row>
    <row r="95" spans="1:10" x14ac:dyDescent="0.25">
      <c r="A95" s="1" t="s">
        <v>1016</v>
      </c>
      <c r="B95" s="1" t="s">
        <v>1017</v>
      </c>
      <c r="C95" s="1" t="s">
        <v>1023</v>
      </c>
      <c r="D95" s="1" t="s">
        <v>1024</v>
      </c>
      <c r="E95" s="95" t="s">
        <v>0</v>
      </c>
      <c r="G95" s="1" t="s">
        <v>0</v>
      </c>
      <c r="H95" s="1" t="s">
        <v>1018</v>
      </c>
      <c r="I95" s="1" t="s">
        <v>1019</v>
      </c>
      <c r="J95" s="97" t="str">
        <f t="shared" si="1"/>
        <v>loadMibOLD(pathMibFolder + "");</v>
      </c>
    </row>
    <row r="96" spans="1:10" x14ac:dyDescent="0.25">
      <c r="A96" s="1" t="s">
        <v>1016</v>
      </c>
      <c r="B96" s="1" t="s">
        <v>1017</v>
      </c>
      <c r="C96" s="1" t="s">
        <v>1023</v>
      </c>
      <c r="D96" s="1" t="s">
        <v>1024</v>
      </c>
      <c r="E96" s="95" t="s">
        <v>0</v>
      </c>
      <c r="G96" s="1" t="s">
        <v>0</v>
      </c>
      <c r="H96" s="1" t="s">
        <v>1018</v>
      </c>
      <c r="I96" s="1" t="s">
        <v>1019</v>
      </c>
      <c r="J96" s="97" t="str">
        <f t="shared" si="1"/>
        <v>loadMibOLD(pathMibFolder + "");</v>
      </c>
    </row>
    <row r="97" spans="1:10" x14ac:dyDescent="0.25">
      <c r="A97" s="1" t="s">
        <v>1016</v>
      </c>
      <c r="B97" s="1" t="s">
        <v>1017</v>
      </c>
      <c r="C97" s="1" t="s">
        <v>1023</v>
      </c>
      <c r="D97" s="1" t="s">
        <v>1024</v>
      </c>
      <c r="E97" s="95" t="s">
        <v>0</v>
      </c>
      <c r="G97" s="1" t="s">
        <v>0</v>
      </c>
      <c r="H97" s="1" t="s">
        <v>1018</v>
      </c>
      <c r="I97" s="1" t="s">
        <v>1019</v>
      </c>
      <c r="J97" s="97" t="str">
        <f t="shared" si="1"/>
        <v>loadMibOLD(pathMibFolder + "");</v>
      </c>
    </row>
    <row r="98" spans="1:10" x14ac:dyDescent="0.25">
      <c r="A98" s="1" t="s">
        <v>1016</v>
      </c>
      <c r="B98" s="1" t="s">
        <v>1017</v>
      </c>
      <c r="C98" s="1" t="s">
        <v>1023</v>
      </c>
      <c r="D98" s="1" t="s">
        <v>1024</v>
      </c>
      <c r="E98" s="95" t="s">
        <v>0</v>
      </c>
      <c r="G98" s="1" t="s">
        <v>0</v>
      </c>
      <c r="H98" s="1" t="s">
        <v>1018</v>
      </c>
      <c r="I98" s="1" t="s">
        <v>1019</v>
      </c>
      <c r="J98" s="97" t="str">
        <f t="shared" si="1"/>
        <v>loadMibOLD(pathMibFolder + "");</v>
      </c>
    </row>
    <row r="99" spans="1:10" x14ac:dyDescent="0.25">
      <c r="A99" s="1" t="s">
        <v>1016</v>
      </c>
      <c r="B99" s="1" t="s">
        <v>1017</v>
      </c>
      <c r="C99" s="1" t="s">
        <v>1023</v>
      </c>
      <c r="D99" s="1" t="s">
        <v>1024</v>
      </c>
      <c r="E99" s="95" t="s">
        <v>0</v>
      </c>
      <c r="G99" s="1" t="s">
        <v>0</v>
      </c>
      <c r="H99" s="1" t="s">
        <v>1018</v>
      </c>
      <c r="I99" s="1" t="s">
        <v>1019</v>
      </c>
      <c r="J99" s="97" t="str">
        <f t="shared" si="1"/>
        <v>loadMibOLD(pathMibFolder + "");</v>
      </c>
    </row>
    <row r="100" spans="1:10" x14ac:dyDescent="0.25">
      <c r="A100" s="1" t="s">
        <v>1016</v>
      </c>
      <c r="B100" s="1" t="s">
        <v>1017</v>
      </c>
      <c r="C100" s="1" t="s">
        <v>1023</v>
      </c>
      <c r="D100" s="1" t="s">
        <v>1024</v>
      </c>
      <c r="E100" s="95" t="s">
        <v>0</v>
      </c>
      <c r="G100" s="1" t="s">
        <v>0</v>
      </c>
      <c r="H100" s="1" t="s">
        <v>1018</v>
      </c>
      <c r="I100" s="1" t="s">
        <v>1019</v>
      </c>
      <c r="J100" s="97" t="str">
        <f t="shared" si="1"/>
        <v>loadMibOLD(pathMibFolder + "");</v>
      </c>
    </row>
    <row r="101" spans="1:10" x14ac:dyDescent="0.25">
      <c r="A101" s="1" t="s">
        <v>1016</v>
      </c>
      <c r="B101" s="1" t="s">
        <v>1017</v>
      </c>
      <c r="C101" s="1" t="s">
        <v>1023</v>
      </c>
      <c r="D101" s="1" t="s">
        <v>1024</v>
      </c>
      <c r="E101" s="95" t="s">
        <v>0</v>
      </c>
      <c r="G101" s="1" t="s">
        <v>0</v>
      </c>
      <c r="H101" s="1" t="s">
        <v>1018</v>
      </c>
      <c r="I101" s="1" t="s">
        <v>1019</v>
      </c>
      <c r="J101" s="97" t="str">
        <f t="shared" si="1"/>
        <v>loadMibOLD(pathMibFolder + "");</v>
      </c>
    </row>
    <row r="102" spans="1:10" x14ac:dyDescent="0.25">
      <c r="A102" s="1" t="s">
        <v>1016</v>
      </c>
      <c r="B102" s="1" t="s">
        <v>1017</v>
      </c>
      <c r="C102" s="1" t="s">
        <v>1023</v>
      </c>
      <c r="D102" s="1" t="s">
        <v>1024</v>
      </c>
      <c r="E102" s="95" t="s">
        <v>0</v>
      </c>
      <c r="G102" s="1" t="s">
        <v>0</v>
      </c>
      <c r="H102" s="1" t="s">
        <v>1018</v>
      </c>
      <c r="I102" s="1" t="s">
        <v>1019</v>
      </c>
      <c r="J102" s="97" t="str">
        <f t="shared" si="1"/>
        <v>loadMibOLD(pathMibFolder + "");</v>
      </c>
    </row>
    <row r="103" spans="1:10" x14ac:dyDescent="0.25">
      <c r="A103" s="1" t="s">
        <v>1016</v>
      </c>
      <c r="B103" s="1" t="s">
        <v>1017</v>
      </c>
      <c r="C103" s="1" t="s">
        <v>1023</v>
      </c>
      <c r="D103" s="1" t="s">
        <v>1024</v>
      </c>
      <c r="E103" s="95" t="s">
        <v>0</v>
      </c>
      <c r="G103" s="1" t="s">
        <v>0</v>
      </c>
      <c r="H103" s="1" t="s">
        <v>1018</v>
      </c>
      <c r="I103" s="1" t="s">
        <v>1019</v>
      </c>
      <c r="J103" s="97" t="str">
        <f t="shared" si="1"/>
        <v>loadMibOLD(pathMibFolder + "");</v>
      </c>
    </row>
    <row r="104" spans="1:10" x14ac:dyDescent="0.25">
      <c r="A104" s="1" t="s">
        <v>1016</v>
      </c>
      <c r="B104" s="1" t="s">
        <v>1017</v>
      </c>
      <c r="C104" s="1" t="s">
        <v>1023</v>
      </c>
      <c r="D104" s="1" t="s">
        <v>1024</v>
      </c>
      <c r="E104" s="95" t="s">
        <v>0</v>
      </c>
      <c r="G104" s="1" t="s">
        <v>0</v>
      </c>
      <c r="H104" s="1" t="s">
        <v>1018</v>
      </c>
      <c r="I104" s="1" t="s">
        <v>1019</v>
      </c>
      <c r="J104" s="97" t="str">
        <f t="shared" si="1"/>
        <v>loadMibOLD(pathMibFolder + "");</v>
      </c>
    </row>
    <row r="105" spans="1:10" x14ac:dyDescent="0.25">
      <c r="A105" s="1" t="s">
        <v>1016</v>
      </c>
      <c r="B105" s="1" t="s">
        <v>1017</v>
      </c>
      <c r="C105" s="1" t="s">
        <v>1023</v>
      </c>
      <c r="D105" s="1" t="s">
        <v>1024</v>
      </c>
      <c r="E105" s="95" t="s">
        <v>0</v>
      </c>
      <c r="G105" s="1" t="s">
        <v>0</v>
      </c>
      <c r="H105" s="1" t="s">
        <v>1018</v>
      </c>
      <c r="I105" s="1" t="s">
        <v>1019</v>
      </c>
      <c r="J105" s="97" t="str">
        <f t="shared" si="1"/>
        <v>loadMibOLD(pathMibFolder + "");</v>
      </c>
    </row>
    <row r="106" spans="1:10" x14ac:dyDescent="0.25">
      <c r="A106" s="1" t="s">
        <v>1016</v>
      </c>
      <c r="B106" s="1" t="s">
        <v>1017</v>
      </c>
      <c r="C106" s="1" t="s">
        <v>1023</v>
      </c>
      <c r="D106" s="1" t="s">
        <v>1024</v>
      </c>
      <c r="E106" s="95" t="s">
        <v>0</v>
      </c>
      <c r="G106" s="1" t="s">
        <v>0</v>
      </c>
      <c r="H106" s="1" t="s">
        <v>1018</v>
      </c>
      <c r="I106" s="1" t="s">
        <v>1019</v>
      </c>
      <c r="J106" s="97" t="str">
        <f t="shared" si="1"/>
        <v>loadMibOLD(pathMibFolder + "");</v>
      </c>
    </row>
    <row r="107" spans="1:10" x14ac:dyDescent="0.25">
      <c r="A107" s="1" t="s">
        <v>1016</v>
      </c>
      <c r="B107" s="1" t="s">
        <v>1017</v>
      </c>
      <c r="C107" s="1" t="s">
        <v>1023</v>
      </c>
      <c r="D107" s="1" t="s">
        <v>1024</v>
      </c>
      <c r="E107" s="95" t="s">
        <v>0</v>
      </c>
      <c r="G107" s="1" t="s">
        <v>0</v>
      </c>
      <c r="H107" s="1" t="s">
        <v>1018</v>
      </c>
      <c r="I107" s="1" t="s">
        <v>1019</v>
      </c>
      <c r="J107" s="97" t="str">
        <f t="shared" si="1"/>
        <v>loadMibOLD(pathMibFolder + "");</v>
      </c>
    </row>
    <row r="108" spans="1:10" x14ac:dyDescent="0.25">
      <c r="A108" s="1" t="s">
        <v>1016</v>
      </c>
      <c r="B108" s="1" t="s">
        <v>1017</v>
      </c>
      <c r="C108" s="1" t="s">
        <v>1023</v>
      </c>
      <c r="D108" s="1" t="s">
        <v>1024</v>
      </c>
      <c r="E108" s="95" t="s">
        <v>0</v>
      </c>
      <c r="G108" s="1" t="s">
        <v>0</v>
      </c>
      <c r="H108" s="1" t="s">
        <v>1018</v>
      </c>
      <c r="I108" s="1" t="s">
        <v>1019</v>
      </c>
      <c r="J108" s="97" t="str">
        <f t="shared" si="1"/>
        <v>loadMibOLD(pathMibFolder + "");</v>
      </c>
    </row>
    <row r="109" spans="1:10" x14ac:dyDescent="0.25">
      <c r="A109" s="1" t="s">
        <v>1016</v>
      </c>
      <c r="B109" s="1" t="s">
        <v>1017</v>
      </c>
      <c r="C109" s="1" t="s">
        <v>1023</v>
      </c>
      <c r="D109" s="1" t="s">
        <v>1024</v>
      </c>
      <c r="E109" s="95" t="s">
        <v>0</v>
      </c>
      <c r="G109" s="1" t="s">
        <v>0</v>
      </c>
      <c r="H109" s="1" t="s">
        <v>1018</v>
      </c>
      <c r="I109" s="1" t="s">
        <v>1019</v>
      </c>
      <c r="J109" s="97" t="str">
        <f t="shared" si="1"/>
        <v>loadMibOLD(pathMibFolder + "");</v>
      </c>
    </row>
    <row r="110" spans="1:10" x14ac:dyDescent="0.25">
      <c r="A110" s="1" t="s">
        <v>1016</v>
      </c>
      <c r="B110" s="1" t="s">
        <v>1017</v>
      </c>
      <c r="C110" s="1" t="s">
        <v>1023</v>
      </c>
      <c r="D110" s="1" t="s">
        <v>1024</v>
      </c>
      <c r="E110" s="95" t="s">
        <v>0</v>
      </c>
      <c r="G110" s="1" t="s">
        <v>0</v>
      </c>
      <c r="H110" s="1" t="s">
        <v>1018</v>
      </c>
      <c r="I110" s="1" t="s">
        <v>1019</v>
      </c>
      <c r="J110" s="97" t="str">
        <f t="shared" si="1"/>
        <v>loadMibOLD(pathMibFolder + "");</v>
      </c>
    </row>
    <row r="111" spans="1:10" x14ac:dyDescent="0.25">
      <c r="A111" s="1" t="s">
        <v>1016</v>
      </c>
      <c r="B111" s="1" t="s">
        <v>1017</v>
      </c>
      <c r="C111" s="1" t="s">
        <v>1023</v>
      </c>
      <c r="D111" s="1" t="s">
        <v>1024</v>
      </c>
      <c r="E111" s="95" t="s">
        <v>0</v>
      </c>
      <c r="G111" s="1" t="s">
        <v>0</v>
      </c>
      <c r="H111" s="1" t="s">
        <v>1018</v>
      </c>
      <c r="I111" s="1" t="s">
        <v>1019</v>
      </c>
      <c r="J111" s="97" t="str">
        <f t="shared" si="1"/>
        <v>loadMibOLD(pathMibFolder + "");</v>
      </c>
    </row>
    <row r="112" spans="1:10" x14ac:dyDescent="0.25">
      <c r="A112" s="1" t="s">
        <v>1016</v>
      </c>
      <c r="B112" s="1" t="s">
        <v>1017</v>
      </c>
      <c r="C112" s="1" t="s">
        <v>1023</v>
      </c>
      <c r="D112" s="1" t="s">
        <v>1024</v>
      </c>
      <c r="E112" s="95" t="s">
        <v>0</v>
      </c>
      <c r="G112" s="1" t="s">
        <v>0</v>
      </c>
      <c r="H112" s="1" t="s">
        <v>1018</v>
      </c>
      <c r="I112" s="1" t="s">
        <v>1019</v>
      </c>
      <c r="J112" s="97" t="str">
        <f t="shared" si="1"/>
        <v>loadMibOLD(pathMibFolder + "");</v>
      </c>
    </row>
    <row r="113" spans="1:10" x14ac:dyDescent="0.25">
      <c r="A113" s="1" t="s">
        <v>1016</v>
      </c>
      <c r="B113" s="1" t="s">
        <v>1017</v>
      </c>
      <c r="C113" s="1" t="s">
        <v>1023</v>
      </c>
      <c r="D113" s="1" t="s">
        <v>1024</v>
      </c>
      <c r="E113" s="95" t="s">
        <v>0</v>
      </c>
      <c r="G113" s="1" t="s">
        <v>0</v>
      </c>
      <c r="H113" s="1" t="s">
        <v>1018</v>
      </c>
      <c r="I113" s="1" t="s">
        <v>1019</v>
      </c>
      <c r="J113" s="97" t="str">
        <f t="shared" si="1"/>
        <v>loadMibOLD(pathMibFolder + "");</v>
      </c>
    </row>
    <row r="114" spans="1:10" x14ac:dyDescent="0.25">
      <c r="A114" s="1" t="s">
        <v>1016</v>
      </c>
      <c r="B114" s="1" t="s">
        <v>1017</v>
      </c>
      <c r="C114" s="1" t="s">
        <v>1023</v>
      </c>
      <c r="D114" s="1" t="s">
        <v>1024</v>
      </c>
      <c r="E114" s="95" t="s">
        <v>0</v>
      </c>
      <c r="G114" s="1" t="s">
        <v>0</v>
      </c>
      <c r="H114" s="1" t="s">
        <v>1018</v>
      </c>
      <c r="I114" s="1" t="s">
        <v>1019</v>
      </c>
      <c r="J114" s="97" t="str">
        <f t="shared" si="1"/>
        <v>loadMibOLD(pathMibFolder + "");</v>
      </c>
    </row>
    <row r="115" spans="1:10" x14ac:dyDescent="0.25">
      <c r="A115" s="1" t="s">
        <v>1016</v>
      </c>
      <c r="B115" s="1" t="s">
        <v>1017</v>
      </c>
      <c r="C115" s="1" t="s">
        <v>1023</v>
      </c>
      <c r="D115" s="1" t="s">
        <v>1024</v>
      </c>
      <c r="E115" s="95" t="s">
        <v>0</v>
      </c>
      <c r="G115" s="1" t="s">
        <v>0</v>
      </c>
      <c r="H115" s="1" t="s">
        <v>1018</v>
      </c>
      <c r="I115" s="1" t="s">
        <v>1019</v>
      </c>
      <c r="J115" s="97" t="str">
        <f t="shared" si="1"/>
        <v>loadMibOLD(pathMibFolder + "");</v>
      </c>
    </row>
    <row r="116" spans="1:10" x14ac:dyDescent="0.25">
      <c r="A116" s="1" t="s">
        <v>1016</v>
      </c>
      <c r="B116" s="1" t="s">
        <v>1017</v>
      </c>
      <c r="C116" s="1" t="s">
        <v>1023</v>
      </c>
      <c r="D116" s="1" t="s">
        <v>1024</v>
      </c>
      <c r="E116" s="95" t="s">
        <v>0</v>
      </c>
      <c r="G116" s="1" t="s">
        <v>0</v>
      </c>
      <c r="H116" s="1" t="s">
        <v>1018</v>
      </c>
      <c r="I116" s="1" t="s">
        <v>1019</v>
      </c>
      <c r="J116" s="97" t="str">
        <f t="shared" si="1"/>
        <v>loadMibOLD(pathMibFolder + "");</v>
      </c>
    </row>
    <row r="117" spans="1:10" x14ac:dyDescent="0.25">
      <c r="A117" s="1" t="s">
        <v>1016</v>
      </c>
      <c r="B117" s="1" t="s">
        <v>1017</v>
      </c>
      <c r="C117" s="1" t="s">
        <v>1023</v>
      </c>
      <c r="D117" s="1" t="s">
        <v>1024</v>
      </c>
      <c r="E117" s="95" t="s">
        <v>0</v>
      </c>
      <c r="G117" s="1" t="s">
        <v>0</v>
      </c>
      <c r="H117" s="1" t="s">
        <v>1018</v>
      </c>
      <c r="I117" s="1" t="s">
        <v>1019</v>
      </c>
      <c r="J117" s="97" t="str">
        <f t="shared" si="1"/>
        <v>loadMibOLD(pathMibFolder + "");</v>
      </c>
    </row>
    <row r="118" spans="1:10" x14ac:dyDescent="0.25">
      <c r="A118" s="1" t="s">
        <v>1016</v>
      </c>
      <c r="B118" s="1" t="s">
        <v>1017</v>
      </c>
      <c r="C118" s="1" t="s">
        <v>1023</v>
      </c>
      <c r="D118" s="1" t="s">
        <v>1024</v>
      </c>
      <c r="E118" s="95" t="s">
        <v>0</v>
      </c>
      <c r="G118" s="1" t="s">
        <v>0</v>
      </c>
      <c r="H118" s="1" t="s">
        <v>1018</v>
      </c>
      <c r="I118" s="1" t="s">
        <v>1019</v>
      </c>
      <c r="J118" s="97" t="str">
        <f t="shared" si="1"/>
        <v>loadMibOLD(pathMibFolder + "");</v>
      </c>
    </row>
    <row r="119" spans="1:10" x14ac:dyDescent="0.25">
      <c r="A119" s="1" t="s">
        <v>1016</v>
      </c>
      <c r="B119" s="1" t="s">
        <v>1017</v>
      </c>
      <c r="C119" s="1" t="s">
        <v>1023</v>
      </c>
      <c r="D119" s="1" t="s">
        <v>1024</v>
      </c>
      <c r="E119" s="95" t="s">
        <v>0</v>
      </c>
      <c r="G119" s="1" t="s">
        <v>0</v>
      </c>
      <c r="H119" s="1" t="s">
        <v>1018</v>
      </c>
      <c r="I119" s="1" t="s">
        <v>1019</v>
      </c>
      <c r="J119" s="97" t="str">
        <f t="shared" si="1"/>
        <v>loadMibOLD(pathMibFolder + "");</v>
      </c>
    </row>
    <row r="120" spans="1:10" x14ac:dyDescent="0.25">
      <c r="A120" s="1" t="s">
        <v>1016</v>
      </c>
      <c r="B120" s="1" t="s">
        <v>1017</v>
      </c>
      <c r="C120" s="1" t="s">
        <v>1023</v>
      </c>
      <c r="D120" s="1" t="s">
        <v>1024</v>
      </c>
      <c r="E120" s="95" t="s">
        <v>0</v>
      </c>
      <c r="G120" s="1" t="s">
        <v>0</v>
      </c>
      <c r="H120" s="1" t="s">
        <v>1018</v>
      </c>
      <c r="I120" s="1" t="s">
        <v>1019</v>
      </c>
      <c r="J120" s="97" t="str">
        <f t="shared" si="1"/>
        <v>loadMibOLD(pathMibFolder + "");</v>
      </c>
    </row>
    <row r="121" spans="1:10" x14ac:dyDescent="0.25">
      <c r="A121" s="1" t="s">
        <v>1016</v>
      </c>
      <c r="B121" s="1" t="s">
        <v>1017</v>
      </c>
      <c r="C121" s="1" t="s">
        <v>1023</v>
      </c>
      <c r="D121" s="1" t="s">
        <v>1024</v>
      </c>
      <c r="E121" s="95" t="s">
        <v>0</v>
      </c>
      <c r="G121" s="1" t="s">
        <v>0</v>
      </c>
      <c r="H121" s="1" t="s">
        <v>1018</v>
      </c>
      <c r="I121" s="1" t="s">
        <v>1019</v>
      </c>
      <c r="J121" s="97" t="str">
        <f t="shared" si="1"/>
        <v>loadMibOLD(pathMibFolder + "");</v>
      </c>
    </row>
    <row r="122" spans="1:10" x14ac:dyDescent="0.25">
      <c r="A122" s="1" t="s">
        <v>1016</v>
      </c>
      <c r="B122" s="1" t="s">
        <v>1017</v>
      </c>
      <c r="C122" s="1" t="s">
        <v>1023</v>
      </c>
      <c r="D122" s="1" t="s">
        <v>1024</v>
      </c>
      <c r="E122" s="95" t="s">
        <v>0</v>
      </c>
      <c r="G122" s="1" t="s">
        <v>0</v>
      </c>
      <c r="H122" s="1" t="s">
        <v>1018</v>
      </c>
      <c r="I122" s="1" t="s">
        <v>1019</v>
      </c>
      <c r="J122" s="97" t="str">
        <f t="shared" si="1"/>
        <v>loadMibOLD(pathMibFolder + "");</v>
      </c>
    </row>
    <row r="123" spans="1:10" x14ac:dyDescent="0.25">
      <c r="A123" s="1" t="s">
        <v>1016</v>
      </c>
      <c r="B123" s="1" t="s">
        <v>1017</v>
      </c>
      <c r="C123" s="1" t="s">
        <v>1023</v>
      </c>
      <c r="D123" s="1" t="s">
        <v>1024</v>
      </c>
      <c r="E123" s="95" t="s">
        <v>0</v>
      </c>
      <c r="G123" s="1" t="s">
        <v>0</v>
      </c>
      <c r="H123" s="1" t="s">
        <v>1018</v>
      </c>
      <c r="I123" s="1" t="s">
        <v>1019</v>
      </c>
      <c r="J123" s="97" t="str">
        <f t="shared" si="1"/>
        <v>loadMibOLD(pathMibFolder + "");</v>
      </c>
    </row>
    <row r="124" spans="1:10" x14ac:dyDescent="0.25">
      <c r="A124" s="1" t="s">
        <v>1016</v>
      </c>
      <c r="B124" s="1" t="s">
        <v>1017</v>
      </c>
      <c r="C124" s="1" t="s">
        <v>1023</v>
      </c>
      <c r="D124" s="1" t="s">
        <v>1024</v>
      </c>
      <c r="E124" s="95" t="s">
        <v>0</v>
      </c>
      <c r="G124" s="1" t="s">
        <v>0</v>
      </c>
      <c r="H124" s="1" t="s">
        <v>1018</v>
      </c>
      <c r="I124" s="1" t="s">
        <v>1019</v>
      </c>
      <c r="J124" s="97" t="str">
        <f t="shared" si="1"/>
        <v>loadMibOLD(pathMibFolder + "");</v>
      </c>
    </row>
    <row r="125" spans="1:10" x14ac:dyDescent="0.25">
      <c r="A125" s="1" t="s">
        <v>1016</v>
      </c>
      <c r="B125" s="1" t="s">
        <v>1017</v>
      </c>
      <c r="C125" s="1" t="s">
        <v>1023</v>
      </c>
      <c r="D125" s="1" t="s">
        <v>1024</v>
      </c>
      <c r="E125" s="95" t="s">
        <v>0</v>
      </c>
      <c r="G125" s="1" t="s">
        <v>0</v>
      </c>
      <c r="H125" s="1" t="s">
        <v>1018</v>
      </c>
      <c r="I125" s="1" t="s">
        <v>1019</v>
      </c>
      <c r="J125" s="97" t="str">
        <f t="shared" si="1"/>
        <v>loadMibOLD(pathMibFolder + "");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1"/>
  <sheetViews>
    <sheetView showGridLines="0" zoomScaleNormal="100" workbookViewId="0">
      <selection activeCell="B13" sqref="B13"/>
    </sheetView>
  </sheetViews>
  <sheetFormatPr defaultColWidth="9.140625" defaultRowHeight="11.25" x14ac:dyDescent="0.2"/>
  <cols>
    <col min="1" max="1" width="7.42578125" style="4" bestFit="1" customWidth="1"/>
    <col min="2" max="2" width="7.140625" style="4" bestFit="1" customWidth="1"/>
    <col min="3" max="3" width="20.7109375" style="4" customWidth="1"/>
    <col min="4" max="4" width="6.5703125" style="4" bestFit="1" customWidth="1"/>
    <col min="5" max="5" width="6.140625" style="4" bestFit="1" customWidth="1"/>
    <col min="6" max="16384" width="9.140625" style="4"/>
  </cols>
  <sheetData>
    <row r="1" spans="1:5" x14ac:dyDescent="0.2">
      <c r="A1" s="2" t="s">
        <v>129</v>
      </c>
      <c r="B1" s="3" t="s">
        <v>130</v>
      </c>
    </row>
    <row r="2" spans="1:5" x14ac:dyDescent="0.2">
      <c r="A2" s="5" t="s">
        <v>131</v>
      </c>
      <c r="B2" s="6">
        <v>10</v>
      </c>
    </row>
    <row r="3" spans="1:5" x14ac:dyDescent="0.2">
      <c r="A3" s="5" t="s">
        <v>1040</v>
      </c>
      <c r="B3" s="6"/>
      <c r="D3" s="7" t="s">
        <v>132</v>
      </c>
      <c r="E3" s="7"/>
    </row>
    <row r="4" spans="1:5" x14ac:dyDescent="0.2">
      <c r="A4" s="5" t="s">
        <v>1041</v>
      </c>
      <c r="B4" s="6"/>
      <c r="D4" s="8" t="s">
        <v>133</v>
      </c>
      <c r="E4" s="9">
        <v>75</v>
      </c>
    </row>
    <row r="5" spans="1:5" x14ac:dyDescent="0.2">
      <c r="A5" s="5" t="s">
        <v>1042</v>
      </c>
      <c r="B5" s="6"/>
      <c r="D5" s="10" t="s">
        <v>134</v>
      </c>
      <c r="E5" s="11">
        <f>SUM(logTable[[#All],[Amount]])</f>
        <v>10</v>
      </c>
    </row>
    <row r="6" spans="1:5" x14ac:dyDescent="0.2">
      <c r="A6" s="5" t="s">
        <v>1043</v>
      </c>
      <c r="B6" s="6"/>
      <c r="D6" s="12" t="s">
        <v>135</v>
      </c>
      <c r="E6" s="13">
        <f>E5/E4</f>
        <v>0.13333333333333333</v>
      </c>
    </row>
    <row r="7" spans="1:5" x14ac:dyDescent="0.2">
      <c r="A7" s="5" t="s">
        <v>1044</v>
      </c>
      <c r="B7" s="6"/>
    </row>
    <row r="8" spans="1:5" x14ac:dyDescent="0.2">
      <c r="A8" s="5" t="s">
        <v>1045</v>
      </c>
      <c r="B8" s="6"/>
    </row>
    <row r="9" spans="1:5" x14ac:dyDescent="0.2">
      <c r="A9" s="5" t="s">
        <v>1046</v>
      </c>
      <c r="B9" s="6"/>
    </row>
    <row r="10" spans="1:5" x14ac:dyDescent="0.2">
      <c r="A10" s="5" t="s">
        <v>1047</v>
      </c>
      <c r="B10" s="6"/>
    </row>
    <row r="11" spans="1:5" x14ac:dyDescent="0.2">
      <c r="A11" s="5" t="s">
        <v>1048</v>
      </c>
      <c r="B11" s="6"/>
    </row>
    <row r="12" spans="1:5" x14ac:dyDescent="0.2">
      <c r="A12" s="5" t="s">
        <v>1049</v>
      </c>
      <c r="B12" s="6"/>
    </row>
    <row r="13" spans="1:5" x14ac:dyDescent="0.2">
      <c r="A13" s="5" t="s">
        <v>1050</v>
      </c>
      <c r="B13" s="6"/>
    </row>
    <row r="14" spans="1:5" x14ac:dyDescent="0.2">
      <c r="A14" s="5" t="s">
        <v>1051</v>
      </c>
      <c r="B14" s="6"/>
    </row>
    <row r="15" spans="1:5" x14ac:dyDescent="0.2">
      <c r="A15" s="5" t="s">
        <v>1052</v>
      </c>
      <c r="B15" s="6"/>
    </row>
    <row r="16" spans="1:5" x14ac:dyDescent="0.2">
      <c r="B16" s="14"/>
    </row>
    <row r="17" spans="1:9" x14ac:dyDescent="0.2">
      <c r="B17" s="15"/>
    </row>
    <row r="18" spans="1:9" x14ac:dyDescent="0.2">
      <c r="B18" s="16"/>
    </row>
    <row r="19" spans="1:9" x14ac:dyDescent="0.2">
      <c r="B19" s="17"/>
      <c r="H19" s="18"/>
      <c r="I19" s="18"/>
    </row>
    <row r="20" spans="1:9" s="18" customFormat="1" x14ac:dyDescent="0.2">
      <c r="A20" s="4"/>
      <c r="B20" s="4"/>
      <c r="H20" s="4"/>
      <c r="I20" s="4"/>
    </row>
    <row r="21" spans="1:9" x14ac:dyDescent="0.2">
      <c r="A21" s="18"/>
      <c r="B21" s="18"/>
    </row>
  </sheetData>
  <printOptions horizontalCentered="1"/>
  <pageMargins left="0.5" right="0.5" top="0.5" bottom="0.5" header="0.25" footer="0.25"/>
  <pageSetup fitToHeight="0" orientation="portrait" r:id="rId1"/>
  <headerFooter alignWithMargins="0">
    <oddHeader>Page &amp;P of &amp;N</oddHeader>
    <oddFooter>&amp;L&amp;8Donation Tracking Template by Vertex42.com&amp;R&amp;8© 2014 Vertex42 LLC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611"/>
  <sheetViews>
    <sheetView workbookViewId="0">
      <selection activeCell="A4" sqref="A4"/>
    </sheetView>
  </sheetViews>
  <sheetFormatPr defaultRowHeight="15" x14ac:dyDescent="0.25"/>
  <cols>
    <col min="1" max="1" width="13.85546875" style="19" bestFit="1" customWidth="1"/>
    <col min="2" max="2" width="12.7109375" bestFit="1" customWidth="1"/>
    <col min="3" max="3" width="45.85546875" bestFit="1" customWidth="1"/>
    <col min="4" max="4" width="4" style="19" bestFit="1" customWidth="1"/>
    <col min="5" max="5" width="15.140625" style="25" bestFit="1" customWidth="1"/>
    <col min="6" max="6" width="48.28515625" style="26" bestFit="1" customWidth="1"/>
    <col min="7" max="23" width="9.140625" style="19"/>
  </cols>
  <sheetData>
    <row r="1" spans="1:23" ht="15.75" thickBot="1" x14ac:dyDescent="0.3">
      <c r="B1" s="100" t="s">
        <v>136</v>
      </c>
      <c r="C1" s="100"/>
      <c r="E1" s="101" t="s">
        <v>137</v>
      </c>
      <c r="F1" s="102"/>
    </row>
    <row r="2" spans="1:23" x14ac:dyDescent="0.25">
      <c r="A2" s="19" t="s">
        <v>138</v>
      </c>
      <c r="D2" s="19" t="str">
        <f>IFERROR(MATCH(A2,$B$2:$B$579,),"")</f>
        <v/>
      </c>
      <c r="E2" s="20" t="str">
        <f>IF(D2&lt;&gt;"",INDEX($B$2:$C$387,D2,1),"")</f>
        <v/>
      </c>
      <c r="F2" s="21" t="str">
        <f>IF(D2&lt;&gt;"",INDEX($B$2:$C$566,D2,2),"")</f>
        <v/>
      </c>
      <c r="U2" s="22"/>
      <c r="V2" s="23" t="str">
        <f t="shared" ref="V2" si="0">IFERROR(MATCH(G2,$U$3:$U$1119,),"")</f>
        <v/>
      </c>
      <c r="W2" s="24" t="str">
        <f t="shared" ref="W2" si="1">IF(V2&lt;&gt;"",INDEX($U$3:$U$1201,V2,1),"")</f>
        <v/>
      </c>
    </row>
    <row r="3" spans="1:23" x14ac:dyDescent="0.25">
      <c r="A3" s="19" t="s">
        <v>139</v>
      </c>
      <c r="D3" s="19" t="str">
        <f>IFERROR(MATCH(A3,$B$2:$B$579,),"")</f>
        <v/>
      </c>
      <c r="E3" s="20" t="str">
        <f t="shared" ref="E3:E66" si="2">IF(D3&lt;&gt;"",INDEX($B$2:$C$387,D3,1),"")</f>
        <v/>
      </c>
      <c r="F3" s="21" t="str">
        <f t="shared" ref="F3:F66" si="3">IF(D3&lt;&gt;"",INDEX($B$2:$C$566,D3,2),"")</f>
        <v/>
      </c>
    </row>
    <row r="4" spans="1:23" x14ac:dyDescent="0.25">
      <c r="A4" s="19" t="s">
        <v>140</v>
      </c>
      <c r="D4" s="19" t="str">
        <f t="shared" ref="D4:D67" si="4">IFERROR(MATCH(A4,$B$2:$B$579,),"")</f>
        <v/>
      </c>
      <c r="E4" s="20" t="str">
        <f t="shared" si="2"/>
        <v/>
      </c>
      <c r="F4" s="21" t="str">
        <f t="shared" si="3"/>
        <v/>
      </c>
    </row>
    <row r="5" spans="1:23" x14ac:dyDescent="0.25">
      <c r="A5" s="19" t="s">
        <v>141</v>
      </c>
      <c r="D5" s="19" t="str">
        <f t="shared" si="4"/>
        <v/>
      </c>
      <c r="E5" s="20" t="str">
        <f t="shared" si="2"/>
        <v/>
      </c>
      <c r="F5" s="21" t="str">
        <f t="shared" si="3"/>
        <v/>
      </c>
    </row>
    <row r="6" spans="1:23" x14ac:dyDescent="0.25">
      <c r="A6" s="19" t="s">
        <v>142</v>
      </c>
      <c r="D6" s="19" t="str">
        <f t="shared" si="4"/>
        <v/>
      </c>
      <c r="E6" s="20" t="str">
        <f t="shared" si="2"/>
        <v/>
      </c>
      <c r="F6" s="21" t="str">
        <f t="shared" si="3"/>
        <v/>
      </c>
    </row>
    <row r="7" spans="1:23" x14ac:dyDescent="0.25">
      <c r="A7" s="19" t="s">
        <v>143</v>
      </c>
      <c r="D7" s="19" t="str">
        <f t="shared" si="4"/>
        <v/>
      </c>
      <c r="E7" s="20" t="str">
        <f t="shared" si="2"/>
        <v/>
      </c>
      <c r="F7" s="21" t="str">
        <f t="shared" si="3"/>
        <v/>
      </c>
    </row>
    <row r="8" spans="1:23" x14ac:dyDescent="0.25">
      <c r="A8" s="19" t="s">
        <v>144</v>
      </c>
      <c r="D8" s="19" t="str">
        <f t="shared" si="4"/>
        <v/>
      </c>
      <c r="E8" s="20" t="str">
        <f t="shared" si="2"/>
        <v/>
      </c>
      <c r="F8" s="21" t="str">
        <f t="shared" si="3"/>
        <v/>
      </c>
    </row>
    <row r="9" spans="1:23" x14ac:dyDescent="0.25">
      <c r="A9" s="19" t="s">
        <v>145</v>
      </c>
      <c r="D9" s="19" t="str">
        <f t="shared" si="4"/>
        <v/>
      </c>
      <c r="E9" s="20" t="str">
        <f t="shared" si="2"/>
        <v/>
      </c>
      <c r="F9" s="21" t="str">
        <f t="shared" si="3"/>
        <v/>
      </c>
    </row>
    <row r="10" spans="1:23" x14ac:dyDescent="0.25">
      <c r="A10" s="19" t="s">
        <v>146</v>
      </c>
      <c r="D10" s="19" t="str">
        <f t="shared" si="4"/>
        <v/>
      </c>
      <c r="E10" s="20" t="str">
        <f t="shared" si="2"/>
        <v/>
      </c>
      <c r="F10" s="21" t="str">
        <f t="shared" si="3"/>
        <v/>
      </c>
    </row>
    <row r="11" spans="1:23" x14ac:dyDescent="0.25">
      <c r="A11" s="19" t="s">
        <v>147</v>
      </c>
      <c r="D11" s="19" t="str">
        <f t="shared" si="4"/>
        <v/>
      </c>
      <c r="E11" s="20" t="str">
        <f t="shared" si="2"/>
        <v/>
      </c>
      <c r="F11" s="21" t="str">
        <f t="shared" si="3"/>
        <v/>
      </c>
    </row>
    <row r="12" spans="1:23" x14ac:dyDescent="0.25">
      <c r="A12" s="19" t="s">
        <v>148</v>
      </c>
      <c r="D12" s="19" t="str">
        <f t="shared" si="4"/>
        <v/>
      </c>
      <c r="E12" s="20" t="str">
        <f t="shared" si="2"/>
        <v/>
      </c>
      <c r="F12" s="21" t="str">
        <f t="shared" si="3"/>
        <v/>
      </c>
    </row>
    <row r="13" spans="1:23" x14ac:dyDescent="0.25">
      <c r="A13" s="19" t="s">
        <v>150</v>
      </c>
      <c r="D13" s="19" t="str">
        <f t="shared" si="4"/>
        <v/>
      </c>
      <c r="E13" s="20" t="str">
        <f t="shared" si="2"/>
        <v/>
      </c>
      <c r="F13" s="21" t="str">
        <f t="shared" si="3"/>
        <v/>
      </c>
    </row>
    <row r="14" spans="1:23" x14ac:dyDescent="0.25">
      <c r="A14" s="19" t="s">
        <v>152</v>
      </c>
      <c r="D14" s="19" t="str">
        <f t="shared" si="4"/>
        <v/>
      </c>
      <c r="E14" s="20" t="str">
        <f t="shared" si="2"/>
        <v/>
      </c>
      <c r="F14" s="21" t="str">
        <f t="shared" si="3"/>
        <v/>
      </c>
    </row>
    <row r="15" spans="1:23" x14ac:dyDescent="0.25">
      <c r="A15" s="19" t="s">
        <v>154</v>
      </c>
      <c r="D15" s="19" t="str">
        <f t="shared" si="4"/>
        <v/>
      </c>
      <c r="E15" s="20" t="str">
        <f t="shared" si="2"/>
        <v/>
      </c>
      <c r="F15" s="21" t="str">
        <f t="shared" si="3"/>
        <v/>
      </c>
    </row>
    <row r="16" spans="1:23" x14ac:dyDescent="0.25">
      <c r="A16" s="19" t="s">
        <v>156</v>
      </c>
      <c r="D16" s="19" t="str">
        <f t="shared" si="4"/>
        <v/>
      </c>
      <c r="E16" s="20" t="str">
        <f t="shared" si="2"/>
        <v/>
      </c>
      <c r="F16" s="21" t="str">
        <f t="shared" si="3"/>
        <v/>
      </c>
    </row>
    <row r="17" spans="1:6" x14ac:dyDescent="0.25">
      <c r="A17" s="19" t="s">
        <v>158</v>
      </c>
      <c r="D17" s="19" t="str">
        <f t="shared" si="4"/>
        <v/>
      </c>
      <c r="E17" s="20" t="str">
        <f t="shared" si="2"/>
        <v/>
      </c>
      <c r="F17" s="21" t="str">
        <f t="shared" si="3"/>
        <v/>
      </c>
    </row>
    <row r="18" spans="1:6" x14ac:dyDescent="0.25">
      <c r="A18" s="19" t="s">
        <v>160</v>
      </c>
      <c r="D18" s="19" t="str">
        <f t="shared" si="4"/>
        <v/>
      </c>
      <c r="E18" s="20" t="str">
        <f t="shared" si="2"/>
        <v/>
      </c>
      <c r="F18" s="21" t="str">
        <f t="shared" si="3"/>
        <v/>
      </c>
    </row>
    <row r="19" spans="1:6" x14ac:dyDescent="0.25">
      <c r="A19" s="19" t="s">
        <v>162</v>
      </c>
      <c r="D19" s="19" t="str">
        <f t="shared" si="4"/>
        <v/>
      </c>
      <c r="E19" s="20" t="str">
        <f t="shared" si="2"/>
        <v/>
      </c>
      <c r="F19" s="21" t="str">
        <f t="shared" si="3"/>
        <v/>
      </c>
    </row>
    <row r="20" spans="1:6" x14ac:dyDescent="0.25">
      <c r="A20" s="19" t="s">
        <v>164</v>
      </c>
      <c r="D20" s="19" t="str">
        <f t="shared" si="4"/>
        <v/>
      </c>
      <c r="E20" s="20" t="str">
        <f t="shared" si="2"/>
        <v/>
      </c>
      <c r="F20" s="21" t="str">
        <f t="shared" si="3"/>
        <v/>
      </c>
    </row>
    <row r="21" spans="1:6" x14ac:dyDescent="0.25">
      <c r="A21" s="19" t="s">
        <v>166</v>
      </c>
      <c r="D21" s="19" t="str">
        <f t="shared" si="4"/>
        <v/>
      </c>
      <c r="E21" s="20" t="str">
        <f t="shared" si="2"/>
        <v/>
      </c>
      <c r="F21" s="21" t="str">
        <f t="shared" si="3"/>
        <v/>
      </c>
    </row>
    <row r="22" spans="1:6" x14ac:dyDescent="0.25">
      <c r="A22" s="19" t="s">
        <v>149</v>
      </c>
      <c r="D22" s="19" t="str">
        <f t="shared" si="4"/>
        <v/>
      </c>
      <c r="E22" s="20" t="str">
        <f t="shared" si="2"/>
        <v/>
      </c>
      <c r="F22" s="21" t="str">
        <f t="shared" si="3"/>
        <v/>
      </c>
    </row>
    <row r="23" spans="1:6" x14ac:dyDescent="0.25">
      <c r="A23" s="19" t="s">
        <v>151</v>
      </c>
      <c r="D23" s="19" t="str">
        <f t="shared" si="4"/>
        <v/>
      </c>
      <c r="E23" s="20" t="str">
        <f t="shared" si="2"/>
        <v/>
      </c>
      <c r="F23" s="21" t="str">
        <f t="shared" si="3"/>
        <v/>
      </c>
    </row>
    <row r="24" spans="1:6" x14ac:dyDescent="0.25">
      <c r="A24" s="19" t="s">
        <v>153</v>
      </c>
      <c r="D24" s="19" t="str">
        <f t="shared" si="4"/>
        <v/>
      </c>
      <c r="E24" s="20" t="str">
        <f t="shared" si="2"/>
        <v/>
      </c>
      <c r="F24" s="21" t="str">
        <f t="shared" si="3"/>
        <v/>
      </c>
    </row>
    <row r="25" spans="1:6" x14ac:dyDescent="0.25">
      <c r="A25" s="19" t="s">
        <v>155</v>
      </c>
      <c r="D25" s="19" t="str">
        <f t="shared" si="4"/>
        <v/>
      </c>
      <c r="E25" s="20" t="str">
        <f t="shared" si="2"/>
        <v/>
      </c>
      <c r="F25" s="21" t="str">
        <f t="shared" si="3"/>
        <v/>
      </c>
    </row>
    <row r="26" spans="1:6" x14ac:dyDescent="0.25">
      <c r="A26" s="19" t="s">
        <v>157</v>
      </c>
      <c r="D26" s="19" t="str">
        <f t="shared" si="4"/>
        <v/>
      </c>
      <c r="E26" s="20" t="str">
        <f t="shared" si="2"/>
        <v/>
      </c>
      <c r="F26" s="21" t="str">
        <f t="shared" si="3"/>
        <v/>
      </c>
    </row>
    <row r="27" spans="1:6" x14ac:dyDescent="0.25">
      <c r="A27" s="19" t="s">
        <v>159</v>
      </c>
      <c r="D27" s="19" t="str">
        <f t="shared" si="4"/>
        <v/>
      </c>
      <c r="E27" s="20" t="str">
        <f t="shared" si="2"/>
        <v/>
      </c>
      <c r="F27" s="21" t="str">
        <f t="shared" si="3"/>
        <v/>
      </c>
    </row>
    <row r="28" spans="1:6" x14ac:dyDescent="0.25">
      <c r="A28" s="19" t="s">
        <v>161</v>
      </c>
      <c r="D28" s="19" t="str">
        <f t="shared" si="4"/>
        <v/>
      </c>
      <c r="E28" s="20" t="str">
        <f t="shared" si="2"/>
        <v/>
      </c>
      <c r="F28" s="21" t="str">
        <f t="shared" si="3"/>
        <v/>
      </c>
    </row>
    <row r="29" spans="1:6" x14ac:dyDescent="0.25">
      <c r="A29" s="19" t="s">
        <v>163</v>
      </c>
      <c r="D29" s="19" t="str">
        <f t="shared" si="4"/>
        <v/>
      </c>
      <c r="E29" s="20" t="str">
        <f t="shared" si="2"/>
        <v/>
      </c>
      <c r="F29" s="21" t="str">
        <f t="shared" si="3"/>
        <v/>
      </c>
    </row>
    <row r="30" spans="1:6" x14ac:dyDescent="0.25">
      <c r="A30" s="19" t="s">
        <v>165</v>
      </c>
      <c r="D30" s="19" t="str">
        <f t="shared" si="4"/>
        <v/>
      </c>
      <c r="E30" s="20" t="str">
        <f t="shared" si="2"/>
        <v/>
      </c>
      <c r="F30" s="21" t="str">
        <f t="shared" si="3"/>
        <v/>
      </c>
    </row>
    <row r="31" spans="1:6" x14ac:dyDescent="0.25">
      <c r="A31" s="19" t="s">
        <v>167</v>
      </c>
      <c r="D31" s="19" t="str">
        <f t="shared" si="4"/>
        <v/>
      </c>
      <c r="E31" s="20" t="str">
        <f t="shared" si="2"/>
        <v/>
      </c>
      <c r="F31" s="21" t="str">
        <f t="shared" si="3"/>
        <v/>
      </c>
    </row>
    <row r="32" spans="1:6" x14ac:dyDescent="0.25">
      <c r="A32" s="19" t="s">
        <v>168</v>
      </c>
      <c r="D32" s="19" t="str">
        <f t="shared" si="4"/>
        <v/>
      </c>
      <c r="E32" s="20" t="str">
        <f t="shared" si="2"/>
        <v/>
      </c>
      <c r="F32" s="21" t="str">
        <f t="shared" si="3"/>
        <v/>
      </c>
    </row>
    <row r="33" spans="1:6" x14ac:dyDescent="0.25">
      <c r="A33" s="19" t="s">
        <v>179</v>
      </c>
      <c r="D33" s="19" t="str">
        <f t="shared" si="4"/>
        <v/>
      </c>
      <c r="E33" s="20" t="str">
        <f t="shared" si="2"/>
        <v/>
      </c>
      <c r="F33" s="21" t="str">
        <f t="shared" si="3"/>
        <v/>
      </c>
    </row>
    <row r="34" spans="1:6" x14ac:dyDescent="0.25">
      <c r="A34" s="19" t="s">
        <v>169</v>
      </c>
      <c r="D34" s="19" t="str">
        <f t="shared" si="4"/>
        <v/>
      </c>
      <c r="E34" s="20" t="str">
        <f t="shared" si="2"/>
        <v/>
      </c>
      <c r="F34" s="21" t="str">
        <f t="shared" si="3"/>
        <v/>
      </c>
    </row>
    <row r="35" spans="1:6" x14ac:dyDescent="0.25">
      <c r="A35" s="19" t="s">
        <v>170</v>
      </c>
      <c r="D35" s="19" t="str">
        <f t="shared" si="4"/>
        <v/>
      </c>
      <c r="E35" s="20" t="str">
        <f t="shared" si="2"/>
        <v/>
      </c>
      <c r="F35" s="21" t="str">
        <f t="shared" si="3"/>
        <v/>
      </c>
    </row>
    <row r="36" spans="1:6" x14ac:dyDescent="0.25">
      <c r="A36" s="19" t="s">
        <v>171</v>
      </c>
      <c r="D36" s="19" t="str">
        <f t="shared" si="4"/>
        <v/>
      </c>
      <c r="E36" s="20" t="str">
        <f t="shared" si="2"/>
        <v/>
      </c>
      <c r="F36" s="21" t="str">
        <f t="shared" si="3"/>
        <v/>
      </c>
    </row>
    <row r="37" spans="1:6" x14ac:dyDescent="0.25">
      <c r="A37" s="19" t="s">
        <v>172</v>
      </c>
      <c r="D37" s="19" t="str">
        <f t="shared" si="4"/>
        <v/>
      </c>
      <c r="E37" s="20" t="str">
        <f t="shared" si="2"/>
        <v/>
      </c>
      <c r="F37" s="21" t="str">
        <f t="shared" si="3"/>
        <v/>
      </c>
    </row>
    <row r="38" spans="1:6" x14ac:dyDescent="0.25">
      <c r="A38" s="19" t="s">
        <v>173</v>
      </c>
      <c r="D38" s="19" t="str">
        <f t="shared" si="4"/>
        <v/>
      </c>
      <c r="E38" s="20" t="str">
        <f t="shared" si="2"/>
        <v/>
      </c>
      <c r="F38" s="21" t="str">
        <f t="shared" si="3"/>
        <v/>
      </c>
    </row>
    <row r="39" spans="1:6" x14ac:dyDescent="0.25">
      <c r="A39" s="19" t="s">
        <v>174</v>
      </c>
      <c r="D39" s="19" t="str">
        <f t="shared" si="4"/>
        <v/>
      </c>
      <c r="E39" s="20" t="str">
        <f t="shared" si="2"/>
        <v/>
      </c>
      <c r="F39" s="21" t="str">
        <f t="shared" si="3"/>
        <v/>
      </c>
    </row>
    <row r="40" spans="1:6" x14ac:dyDescent="0.25">
      <c r="A40" s="19" t="s">
        <v>175</v>
      </c>
      <c r="D40" s="19" t="str">
        <f t="shared" si="4"/>
        <v/>
      </c>
      <c r="E40" s="20" t="str">
        <f t="shared" si="2"/>
        <v/>
      </c>
      <c r="F40" s="21" t="str">
        <f t="shared" si="3"/>
        <v/>
      </c>
    </row>
    <row r="41" spans="1:6" x14ac:dyDescent="0.25">
      <c r="A41" s="19" t="s">
        <v>176</v>
      </c>
      <c r="D41" s="19" t="str">
        <f t="shared" si="4"/>
        <v/>
      </c>
      <c r="E41" s="20" t="str">
        <f t="shared" si="2"/>
        <v/>
      </c>
      <c r="F41" s="21" t="str">
        <f t="shared" si="3"/>
        <v/>
      </c>
    </row>
    <row r="42" spans="1:6" x14ac:dyDescent="0.25">
      <c r="A42" s="19" t="s">
        <v>177</v>
      </c>
      <c r="D42" s="19" t="str">
        <f t="shared" si="4"/>
        <v/>
      </c>
      <c r="E42" s="20" t="str">
        <f t="shared" si="2"/>
        <v/>
      </c>
      <c r="F42" s="21" t="str">
        <f t="shared" si="3"/>
        <v/>
      </c>
    </row>
    <row r="43" spans="1:6" x14ac:dyDescent="0.25">
      <c r="A43" s="19" t="s">
        <v>178</v>
      </c>
      <c r="D43" s="19" t="str">
        <f t="shared" si="4"/>
        <v/>
      </c>
      <c r="E43" s="20" t="str">
        <f t="shared" si="2"/>
        <v/>
      </c>
      <c r="F43" s="21" t="str">
        <f t="shared" si="3"/>
        <v/>
      </c>
    </row>
    <row r="44" spans="1:6" x14ac:dyDescent="0.25">
      <c r="A44" s="19" t="s">
        <v>191</v>
      </c>
      <c r="D44" s="19" t="str">
        <f t="shared" si="4"/>
        <v/>
      </c>
      <c r="E44" s="20" t="str">
        <f t="shared" si="2"/>
        <v/>
      </c>
      <c r="F44" s="21" t="str">
        <f t="shared" si="3"/>
        <v/>
      </c>
    </row>
    <row r="45" spans="1:6" x14ac:dyDescent="0.25">
      <c r="A45" s="19" t="s">
        <v>180</v>
      </c>
      <c r="D45" s="19" t="str">
        <f t="shared" si="4"/>
        <v/>
      </c>
      <c r="E45" s="20" t="str">
        <f t="shared" si="2"/>
        <v/>
      </c>
      <c r="F45" s="21" t="str">
        <f t="shared" si="3"/>
        <v/>
      </c>
    </row>
    <row r="46" spans="1:6" x14ac:dyDescent="0.25">
      <c r="A46" s="19" t="s">
        <v>181</v>
      </c>
      <c r="D46" s="19" t="str">
        <f t="shared" si="4"/>
        <v/>
      </c>
      <c r="E46" s="20" t="str">
        <f t="shared" si="2"/>
        <v/>
      </c>
      <c r="F46" s="21" t="str">
        <f t="shared" si="3"/>
        <v/>
      </c>
    </row>
    <row r="47" spans="1:6" x14ac:dyDescent="0.25">
      <c r="A47" s="19" t="s">
        <v>182</v>
      </c>
      <c r="D47" s="19" t="str">
        <f t="shared" si="4"/>
        <v/>
      </c>
      <c r="E47" s="20" t="str">
        <f t="shared" si="2"/>
        <v/>
      </c>
      <c r="F47" s="21" t="str">
        <f t="shared" si="3"/>
        <v/>
      </c>
    </row>
    <row r="48" spans="1:6" x14ac:dyDescent="0.25">
      <c r="A48" s="19" t="s">
        <v>183</v>
      </c>
      <c r="D48" s="19" t="str">
        <f t="shared" si="4"/>
        <v/>
      </c>
      <c r="E48" s="20" t="str">
        <f t="shared" si="2"/>
        <v/>
      </c>
      <c r="F48" s="21" t="str">
        <f t="shared" si="3"/>
        <v/>
      </c>
    </row>
    <row r="49" spans="1:6" x14ac:dyDescent="0.25">
      <c r="A49" s="19" t="s">
        <v>184</v>
      </c>
      <c r="D49" s="19" t="str">
        <f t="shared" si="4"/>
        <v/>
      </c>
      <c r="E49" s="20" t="str">
        <f t="shared" si="2"/>
        <v/>
      </c>
      <c r="F49" s="21" t="str">
        <f t="shared" si="3"/>
        <v/>
      </c>
    </row>
    <row r="50" spans="1:6" x14ac:dyDescent="0.25">
      <c r="A50" s="19" t="s">
        <v>185</v>
      </c>
      <c r="D50" s="19" t="str">
        <f t="shared" si="4"/>
        <v/>
      </c>
      <c r="E50" s="20" t="str">
        <f t="shared" si="2"/>
        <v/>
      </c>
      <c r="F50" s="21" t="str">
        <f t="shared" si="3"/>
        <v/>
      </c>
    </row>
    <row r="51" spans="1:6" x14ac:dyDescent="0.25">
      <c r="A51" s="19" t="s">
        <v>186</v>
      </c>
      <c r="D51" s="19" t="str">
        <f t="shared" si="4"/>
        <v/>
      </c>
      <c r="E51" s="20" t="str">
        <f t="shared" si="2"/>
        <v/>
      </c>
      <c r="F51" s="21" t="str">
        <f t="shared" si="3"/>
        <v/>
      </c>
    </row>
    <row r="52" spans="1:6" x14ac:dyDescent="0.25">
      <c r="A52" s="19" t="s">
        <v>200</v>
      </c>
      <c r="D52" s="19" t="str">
        <f t="shared" si="4"/>
        <v/>
      </c>
      <c r="E52" s="20" t="str">
        <f t="shared" si="2"/>
        <v/>
      </c>
      <c r="F52" s="21" t="str">
        <f t="shared" si="3"/>
        <v/>
      </c>
    </row>
    <row r="53" spans="1:6" x14ac:dyDescent="0.25">
      <c r="A53" s="19" t="s">
        <v>187</v>
      </c>
      <c r="D53" s="19" t="str">
        <f t="shared" si="4"/>
        <v/>
      </c>
      <c r="E53" s="20" t="str">
        <f t="shared" si="2"/>
        <v/>
      </c>
      <c r="F53" s="21" t="str">
        <f t="shared" si="3"/>
        <v/>
      </c>
    </row>
    <row r="54" spans="1:6" x14ac:dyDescent="0.25">
      <c r="A54" s="19" t="s">
        <v>188</v>
      </c>
      <c r="D54" s="19" t="str">
        <f t="shared" si="4"/>
        <v/>
      </c>
      <c r="E54" s="20" t="str">
        <f t="shared" si="2"/>
        <v/>
      </c>
      <c r="F54" s="21" t="str">
        <f t="shared" si="3"/>
        <v/>
      </c>
    </row>
    <row r="55" spans="1:6" x14ac:dyDescent="0.25">
      <c r="A55" s="19" t="s">
        <v>189</v>
      </c>
      <c r="D55" s="19" t="str">
        <f t="shared" si="4"/>
        <v/>
      </c>
      <c r="E55" s="20" t="str">
        <f t="shared" si="2"/>
        <v/>
      </c>
      <c r="F55" s="21" t="str">
        <f t="shared" si="3"/>
        <v/>
      </c>
    </row>
    <row r="56" spans="1:6" x14ac:dyDescent="0.25">
      <c r="A56" s="19" t="s">
        <v>190</v>
      </c>
      <c r="D56" s="19" t="str">
        <f t="shared" si="4"/>
        <v/>
      </c>
      <c r="E56" s="20" t="str">
        <f t="shared" si="2"/>
        <v/>
      </c>
      <c r="F56" s="21" t="str">
        <f t="shared" si="3"/>
        <v/>
      </c>
    </row>
    <row r="57" spans="1:6" x14ac:dyDescent="0.25">
      <c r="A57" s="19" t="s">
        <v>206</v>
      </c>
      <c r="D57" s="19" t="str">
        <f t="shared" si="4"/>
        <v/>
      </c>
      <c r="E57" s="20" t="str">
        <f t="shared" si="2"/>
        <v/>
      </c>
      <c r="F57" s="21" t="str">
        <f t="shared" si="3"/>
        <v/>
      </c>
    </row>
    <row r="58" spans="1:6" x14ac:dyDescent="0.25">
      <c r="A58" s="19" t="s">
        <v>192</v>
      </c>
      <c r="D58" s="19" t="str">
        <f t="shared" si="4"/>
        <v/>
      </c>
      <c r="E58" s="20" t="str">
        <f t="shared" si="2"/>
        <v/>
      </c>
      <c r="F58" s="21" t="str">
        <f t="shared" si="3"/>
        <v/>
      </c>
    </row>
    <row r="59" spans="1:6" x14ac:dyDescent="0.25">
      <c r="A59" s="19" t="s">
        <v>193</v>
      </c>
      <c r="D59" s="19" t="str">
        <f t="shared" si="4"/>
        <v/>
      </c>
      <c r="E59" s="20" t="str">
        <f t="shared" si="2"/>
        <v/>
      </c>
      <c r="F59" s="21" t="str">
        <f t="shared" si="3"/>
        <v/>
      </c>
    </row>
    <row r="60" spans="1:6" x14ac:dyDescent="0.25">
      <c r="A60" s="19" t="s">
        <v>194</v>
      </c>
      <c r="D60" s="19" t="str">
        <f t="shared" si="4"/>
        <v/>
      </c>
      <c r="E60" s="20" t="str">
        <f t="shared" si="2"/>
        <v/>
      </c>
      <c r="F60" s="21" t="str">
        <f t="shared" si="3"/>
        <v/>
      </c>
    </row>
    <row r="61" spans="1:6" x14ac:dyDescent="0.25">
      <c r="A61" s="19" t="s">
        <v>195</v>
      </c>
      <c r="D61" s="19" t="str">
        <f t="shared" si="4"/>
        <v/>
      </c>
      <c r="E61" s="20" t="str">
        <f t="shared" si="2"/>
        <v/>
      </c>
      <c r="F61" s="21" t="str">
        <f t="shared" si="3"/>
        <v/>
      </c>
    </row>
    <row r="62" spans="1:6" x14ac:dyDescent="0.25">
      <c r="A62" s="19" t="s">
        <v>196</v>
      </c>
      <c r="D62" s="19" t="str">
        <f t="shared" si="4"/>
        <v/>
      </c>
      <c r="E62" s="20" t="str">
        <f t="shared" si="2"/>
        <v/>
      </c>
      <c r="F62" s="21" t="str">
        <f t="shared" si="3"/>
        <v/>
      </c>
    </row>
    <row r="63" spans="1:6" x14ac:dyDescent="0.25">
      <c r="A63" s="19" t="s">
        <v>197</v>
      </c>
      <c r="D63" s="19" t="str">
        <f t="shared" si="4"/>
        <v/>
      </c>
      <c r="E63" s="20" t="str">
        <f t="shared" si="2"/>
        <v/>
      </c>
      <c r="F63" s="21" t="str">
        <f t="shared" si="3"/>
        <v/>
      </c>
    </row>
    <row r="64" spans="1:6" x14ac:dyDescent="0.25">
      <c r="A64" s="19" t="s">
        <v>198</v>
      </c>
      <c r="D64" s="19" t="str">
        <f t="shared" si="4"/>
        <v/>
      </c>
      <c r="E64" s="20" t="str">
        <f t="shared" si="2"/>
        <v/>
      </c>
      <c r="F64" s="21" t="str">
        <f t="shared" si="3"/>
        <v/>
      </c>
    </row>
    <row r="65" spans="1:6" x14ac:dyDescent="0.25">
      <c r="A65" s="19" t="s">
        <v>199</v>
      </c>
      <c r="D65" s="19" t="str">
        <f t="shared" si="4"/>
        <v/>
      </c>
      <c r="E65" s="20" t="str">
        <f t="shared" si="2"/>
        <v/>
      </c>
      <c r="F65" s="21" t="str">
        <f t="shared" si="3"/>
        <v/>
      </c>
    </row>
    <row r="66" spans="1:6" x14ac:dyDescent="0.25">
      <c r="A66" s="19" t="s">
        <v>201</v>
      </c>
      <c r="D66" s="19" t="str">
        <f t="shared" si="4"/>
        <v/>
      </c>
      <c r="E66" s="20" t="str">
        <f t="shared" si="2"/>
        <v/>
      </c>
      <c r="F66" s="21" t="str">
        <f t="shared" si="3"/>
        <v/>
      </c>
    </row>
    <row r="67" spans="1:6" x14ac:dyDescent="0.25">
      <c r="A67" s="19" t="s">
        <v>202</v>
      </c>
      <c r="D67" s="19" t="str">
        <f t="shared" si="4"/>
        <v/>
      </c>
      <c r="E67" s="20" t="str">
        <f t="shared" ref="E67:E130" si="5">IF(D67&lt;&gt;"",INDEX($B$2:$C$387,D67,1),"")</f>
        <v/>
      </c>
      <c r="F67" s="21" t="str">
        <f t="shared" ref="F67:F130" si="6">IF(D67&lt;&gt;"",INDEX($B$2:$C$566,D67,2),"")</f>
        <v/>
      </c>
    </row>
    <row r="68" spans="1:6" x14ac:dyDescent="0.25">
      <c r="A68" s="19" t="s">
        <v>203</v>
      </c>
      <c r="D68" s="19" t="str">
        <f t="shared" ref="D68:D131" si="7">IFERROR(MATCH(A68,$B$2:$B$579,),"")</f>
        <v/>
      </c>
      <c r="E68" s="20" t="str">
        <f t="shared" si="5"/>
        <v/>
      </c>
      <c r="F68" s="21" t="str">
        <f t="shared" si="6"/>
        <v/>
      </c>
    </row>
    <row r="69" spans="1:6" x14ac:dyDescent="0.25">
      <c r="A69" s="19" t="s">
        <v>204</v>
      </c>
      <c r="D69" s="19" t="str">
        <f t="shared" si="7"/>
        <v/>
      </c>
      <c r="E69" s="20" t="str">
        <f t="shared" si="5"/>
        <v/>
      </c>
      <c r="F69" s="21" t="str">
        <f t="shared" si="6"/>
        <v/>
      </c>
    </row>
    <row r="70" spans="1:6" x14ac:dyDescent="0.25">
      <c r="A70" s="19" t="s">
        <v>220</v>
      </c>
      <c r="D70" s="19" t="str">
        <f t="shared" si="7"/>
        <v/>
      </c>
      <c r="E70" s="20" t="str">
        <f t="shared" si="5"/>
        <v/>
      </c>
      <c r="F70" s="21" t="str">
        <f t="shared" si="6"/>
        <v/>
      </c>
    </row>
    <row r="71" spans="1:6" x14ac:dyDescent="0.25">
      <c r="A71" s="19" t="s">
        <v>205</v>
      </c>
      <c r="D71" s="19" t="str">
        <f t="shared" si="7"/>
        <v/>
      </c>
      <c r="E71" s="20" t="str">
        <f t="shared" si="5"/>
        <v/>
      </c>
      <c r="F71" s="21" t="str">
        <f t="shared" si="6"/>
        <v/>
      </c>
    </row>
    <row r="72" spans="1:6" x14ac:dyDescent="0.25">
      <c r="A72" s="19" t="s">
        <v>207</v>
      </c>
      <c r="D72" s="19" t="str">
        <f t="shared" si="7"/>
        <v/>
      </c>
      <c r="E72" s="20" t="str">
        <f t="shared" si="5"/>
        <v/>
      </c>
      <c r="F72" s="21" t="str">
        <f t="shared" si="6"/>
        <v/>
      </c>
    </row>
    <row r="73" spans="1:6" x14ac:dyDescent="0.25">
      <c r="A73" s="19" t="s">
        <v>208</v>
      </c>
      <c r="D73" s="19" t="str">
        <f t="shared" si="7"/>
        <v/>
      </c>
      <c r="E73" s="20" t="str">
        <f t="shared" si="5"/>
        <v/>
      </c>
      <c r="F73" s="21" t="str">
        <f t="shared" si="6"/>
        <v/>
      </c>
    </row>
    <row r="74" spans="1:6" x14ac:dyDescent="0.25">
      <c r="A74" s="19" t="s">
        <v>209</v>
      </c>
      <c r="D74" s="19" t="str">
        <f t="shared" si="7"/>
        <v/>
      </c>
      <c r="E74" s="20" t="str">
        <f t="shared" si="5"/>
        <v/>
      </c>
      <c r="F74" s="21" t="str">
        <f t="shared" si="6"/>
        <v/>
      </c>
    </row>
    <row r="75" spans="1:6" x14ac:dyDescent="0.25">
      <c r="A75" s="19" t="s">
        <v>210</v>
      </c>
      <c r="D75" s="19" t="str">
        <f t="shared" si="7"/>
        <v/>
      </c>
      <c r="E75" s="20" t="str">
        <f t="shared" si="5"/>
        <v/>
      </c>
      <c r="F75" s="21" t="str">
        <f t="shared" si="6"/>
        <v/>
      </c>
    </row>
    <row r="76" spans="1:6" x14ac:dyDescent="0.25">
      <c r="A76" s="19" t="s">
        <v>211</v>
      </c>
      <c r="D76" s="19" t="str">
        <f t="shared" si="7"/>
        <v/>
      </c>
      <c r="E76" s="20" t="str">
        <f t="shared" si="5"/>
        <v/>
      </c>
      <c r="F76" s="21" t="str">
        <f t="shared" si="6"/>
        <v/>
      </c>
    </row>
    <row r="77" spans="1:6" x14ac:dyDescent="0.25">
      <c r="A77" s="19" t="s">
        <v>212</v>
      </c>
      <c r="D77" s="19" t="str">
        <f t="shared" si="7"/>
        <v/>
      </c>
      <c r="E77" s="20" t="str">
        <f t="shared" si="5"/>
        <v/>
      </c>
      <c r="F77" s="21" t="str">
        <f t="shared" si="6"/>
        <v/>
      </c>
    </row>
    <row r="78" spans="1:6" x14ac:dyDescent="0.25">
      <c r="A78" s="19" t="s">
        <v>213</v>
      </c>
      <c r="D78" s="19" t="str">
        <f t="shared" si="7"/>
        <v/>
      </c>
      <c r="E78" s="20" t="str">
        <f t="shared" si="5"/>
        <v/>
      </c>
      <c r="F78" s="21" t="str">
        <f t="shared" si="6"/>
        <v/>
      </c>
    </row>
    <row r="79" spans="1:6" x14ac:dyDescent="0.25">
      <c r="A79" s="19" t="s">
        <v>214</v>
      </c>
      <c r="D79" s="19" t="str">
        <f t="shared" si="7"/>
        <v/>
      </c>
      <c r="E79" s="20" t="str">
        <f t="shared" si="5"/>
        <v/>
      </c>
      <c r="F79" s="21" t="str">
        <f t="shared" si="6"/>
        <v/>
      </c>
    </row>
    <row r="80" spans="1:6" x14ac:dyDescent="0.25">
      <c r="A80" s="19" t="s">
        <v>215</v>
      </c>
      <c r="D80" s="19" t="str">
        <f t="shared" si="7"/>
        <v/>
      </c>
      <c r="E80" s="20" t="str">
        <f t="shared" si="5"/>
        <v/>
      </c>
      <c r="F80" s="21" t="str">
        <f t="shared" si="6"/>
        <v/>
      </c>
    </row>
    <row r="81" spans="1:6" x14ac:dyDescent="0.25">
      <c r="A81" s="19" t="s">
        <v>216</v>
      </c>
      <c r="D81" s="19" t="str">
        <f t="shared" si="7"/>
        <v/>
      </c>
      <c r="E81" s="20" t="str">
        <f t="shared" si="5"/>
        <v/>
      </c>
      <c r="F81" s="21" t="str">
        <f t="shared" si="6"/>
        <v/>
      </c>
    </row>
    <row r="82" spans="1:6" x14ac:dyDescent="0.25">
      <c r="A82" s="19" t="s">
        <v>217</v>
      </c>
      <c r="D82" s="19" t="str">
        <f t="shared" si="7"/>
        <v/>
      </c>
      <c r="E82" s="20" t="str">
        <f t="shared" si="5"/>
        <v/>
      </c>
      <c r="F82" s="21" t="str">
        <f t="shared" si="6"/>
        <v/>
      </c>
    </row>
    <row r="83" spans="1:6" x14ac:dyDescent="0.25">
      <c r="A83" s="19" t="s">
        <v>218</v>
      </c>
      <c r="D83" s="19" t="str">
        <f t="shared" si="7"/>
        <v/>
      </c>
      <c r="E83" s="20" t="str">
        <f t="shared" si="5"/>
        <v/>
      </c>
      <c r="F83" s="21" t="str">
        <f t="shared" si="6"/>
        <v/>
      </c>
    </row>
    <row r="84" spans="1:6" x14ac:dyDescent="0.25">
      <c r="A84" s="19" t="s">
        <v>219</v>
      </c>
      <c r="D84" s="19" t="str">
        <f t="shared" si="7"/>
        <v/>
      </c>
      <c r="E84" s="20" t="str">
        <f t="shared" si="5"/>
        <v/>
      </c>
      <c r="F84" s="21" t="str">
        <f t="shared" si="6"/>
        <v/>
      </c>
    </row>
    <row r="85" spans="1:6" x14ac:dyDescent="0.25">
      <c r="A85" s="19" t="s">
        <v>221</v>
      </c>
      <c r="D85" s="19" t="str">
        <f t="shared" si="7"/>
        <v/>
      </c>
      <c r="E85" s="20" t="str">
        <f t="shared" si="5"/>
        <v/>
      </c>
      <c r="F85" s="21" t="str">
        <f t="shared" si="6"/>
        <v/>
      </c>
    </row>
    <row r="86" spans="1:6" x14ac:dyDescent="0.25">
      <c r="A86" s="19" t="s">
        <v>222</v>
      </c>
      <c r="D86" s="19" t="str">
        <f t="shared" si="7"/>
        <v/>
      </c>
      <c r="E86" s="20" t="str">
        <f t="shared" si="5"/>
        <v/>
      </c>
      <c r="F86" s="21" t="str">
        <f t="shared" si="6"/>
        <v/>
      </c>
    </row>
    <row r="87" spans="1:6" x14ac:dyDescent="0.25">
      <c r="A87" s="19" t="s">
        <v>223</v>
      </c>
      <c r="D87" s="19" t="str">
        <f t="shared" si="7"/>
        <v/>
      </c>
      <c r="E87" s="20" t="str">
        <f t="shared" si="5"/>
        <v/>
      </c>
      <c r="F87" s="21" t="str">
        <f t="shared" si="6"/>
        <v/>
      </c>
    </row>
    <row r="88" spans="1:6" x14ac:dyDescent="0.25">
      <c r="A88" s="19" t="s">
        <v>224</v>
      </c>
      <c r="D88" s="19" t="str">
        <f t="shared" si="7"/>
        <v/>
      </c>
      <c r="E88" s="20" t="str">
        <f t="shared" si="5"/>
        <v/>
      </c>
      <c r="F88" s="21" t="str">
        <f t="shared" si="6"/>
        <v/>
      </c>
    </row>
    <row r="89" spans="1:6" x14ac:dyDescent="0.25">
      <c r="A89" s="19" t="s">
        <v>225</v>
      </c>
      <c r="D89" s="19" t="str">
        <f t="shared" si="7"/>
        <v/>
      </c>
      <c r="E89" s="20" t="str">
        <f t="shared" si="5"/>
        <v/>
      </c>
      <c r="F89" s="21" t="str">
        <f t="shared" si="6"/>
        <v/>
      </c>
    </row>
    <row r="90" spans="1:6" x14ac:dyDescent="0.25">
      <c r="A90" s="19" t="s">
        <v>226</v>
      </c>
      <c r="D90" s="19" t="str">
        <f t="shared" si="7"/>
        <v/>
      </c>
      <c r="E90" s="20" t="str">
        <f t="shared" si="5"/>
        <v/>
      </c>
      <c r="F90" s="21" t="str">
        <f t="shared" si="6"/>
        <v/>
      </c>
    </row>
    <row r="91" spans="1:6" x14ac:dyDescent="0.25">
      <c r="A91" s="19" t="s">
        <v>227</v>
      </c>
      <c r="D91" s="19" t="str">
        <f t="shared" si="7"/>
        <v/>
      </c>
      <c r="E91" s="20" t="str">
        <f t="shared" si="5"/>
        <v/>
      </c>
      <c r="F91" s="21" t="str">
        <f t="shared" si="6"/>
        <v/>
      </c>
    </row>
    <row r="92" spans="1:6" x14ac:dyDescent="0.25">
      <c r="A92" s="19" t="s">
        <v>228</v>
      </c>
      <c r="D92" s="19" t="str">
        <f t="shared" si="7"/>
        <v/>
      </c>
      <c r="E92" s="20" t="str">
        <f t="shared" si="5"/>
        <v/>
      </c>
      <c r="F92" s="21" t="str">
        <f t="shared" si="6"/>
        <v/>
      </c>
    </row>
    <row r="93" spans="1:6" x14ac:dyDescent="0.25">
      <c r="A93" s="19" t="s">
        <v>229</v>
      </c>
      <c r="D93" s="19" t="str">
        <f t="shared" si="7"/>
        <v/>
      </c>
      <c r="E93" s="20" t="str">
        <f t="shared" si="5"/>
        <v/>
      </c>
      <c r="F93" s="21" t="str">
        <f t="shared" si="6"/>
        <v/>
      </c>
    </row>
    <row r="94" spans="1:6" x14ac:dyDescent="0.25">
      <c r="A94" s="19" t="s">
        <v>230</v>
      </c>
      <c r="D94" s="19" t="str">
        <f t="shared" si="7"/>
        <v/>
      </c>
      <c r="E94" s="20" t="str">
        <f t="shared" si="5"/>
        <v/>
      </c>
      <c r="F94" s="21" t="str">
        <f t="shared" si="6"/>
        <v/>
      </c>
    </row>
    <row r="95" spans="1:6" x14ac:dyDescent="0.25">
      <c r="A95" s="19" t="s">
        <v>231</v>
      </c>
      <c r="D95" s="19" t="str">
        <f t="shared" si="7"/>
        <v/>
      </c>
      <c r="E95" s="20" t="str">
        <f t="shared" si="5"/>
        <v/>
      </c>
      <c r="F95" s="21" t="str">
        <f t="shared" si="6"/>
        <v/>
      </c>
    </row>
    <row r="96" spans="1:6" x14ac:dyDescent="0.25">
      <c r="A96" s="19" t="s">
        <v>232</v>
      </c>
      <c r="D96" s="19" t="str">
        <f t="shared" si="7"/>
        <v/>
      </c>
      <c r="E96" s="20" t="str">
        <f t="shared" si="5"/>
        <v/>
      </c>
      <c r="F96" s="21" t="str">
        <f t="shared" si="6"/>
        <v/>
      </c>
    </row>
    <row r="97" spans="1:6" x14ac:dyDescent="0.25">
      <c r="A97" s="19" t="s">
        <v>233</v>
      </c>
      <c r="D97" s="19" t="str">
        <f t="shared" si="7"/>
        <v/>
      </c>
      <c r="E97" s="20" t="str">
        <f t="shared" si="5"/>
        <v/>
      </c>
      <c r="F97" s="21" t="str">
        <f t="shared" si="6"/>
        <v/>
      </c>
    </row>
    <row r="98" spans="1:6" x14ac:dyDescent="0.25">
      <c r="A98" s="19" t="s">
        <v>249</v>
      </c>
      <c r="D98" s="19" t="str">
        <f t="shared" si="7"/>
        <v/>
      </c>
      <c r="E98" s="20" t="str">
        <f t="shared" si="5"/>
        <v/>
      </c>
      <c r="F98" s="21" t="str">
        <f t="shared" si="6"/>
        <v/>
      </c>
    </row>
    <row r="99" spans="1:6" x14ac:dyDescent="0.25">
      <c r="A99" s="19" t="s">
        <v>234</v>
      </c>
      <c r="D99" s="19" t="str">
        <f t="shared" si="7"/>
        <v/>
      </c>
      <c r="E99" s="20" t="str">
        <f t="shared" si="5"/>
        <v/>
      </c>
      <c r="F99" s="21" t="str">
        <f t="shared" si="6"/>
        <v/>
      </c>
    </row>
    <row r="100" spans="1:6" x14ac:dyDescent="0.25">
      <c r="A100" s="19" t="s">
        <v>252</v>
      </c>
      <c r="D100" s="19" t="str">
        <f t="shared" si="7"/>
        <v/>
      </c>
      <c r="E100" s="20" t="str">
        <f t="shared" si="5"/>
        <v/>
      </c>
      <c r="F100" s="21" t="str">
        <f t="shared" si="6"/>
        <v/>
      </c>
    </row>
    <row r="101" spans="1:6" x14ac:dyDescent="0.25">
      <c r="A101" s="19" t="s">
        <v>235</v>
      </c>
      <c r="D101" s="19" t="str">
        <f t="shared" si="7"/>
        <v/>
      </c>
      <c r="E101" s="20" t="str">
        <f t="shared" si="5"/>
        <v/>
      </c>
      <c r="F101" s="21" t="str">
        <f t="shared" si="6"/>
        <v/>
      </c>
    </row>
    <row r="102" spans="1:6" x14ac:dyDescent="0.25">
      <c r="A102" s="19" t="s">
        <v>236</v>
      </c>
      <c r="D102" s="19" t="str">
        <f t="shared" si="7"/>
        <v/>
      </c>
      <c r="E102" s="20" t="str">
        <f t="shared" si="5"/>
        <v/>
      </c>
      <c r="F102" s="21" t="str">
        <f t="shared" si="6"/>
        <v/>
      </c>
    </row>
    <row r="103" spans="1:6" x14ac:dyDescent="0.25">
      <c r="A103" s="19" t="s">
        <v>237</v>
      </c>
      <c r="D103" s="19" t="str">
        <f t="shared" si="7"/>
        <v/>
      </c>
      <c r="E103" s="20" t="str">
        <f t="shared" si="5"/>
        <v/>
      </c>
      <c r="F103" s="21" t="str">
        <f t="shared" si="6"/>
        <v/>
      </c>
    </row>
    <row r="104" spans="1:6" x14ac:dyDescent="0.25">
      <c r="A104" s="19" t="s">
        <v>257</v>
      </c>
      <c r="D104" s="19" t="str">
        <f t="shared" si="7"/>
        <v/>
      </c>
      <c r="E104" s="20" t="str">
        <f t="shared" si="5"/>
        <v/>
      </c>
      <c r="F104" s="21" t="str">
        <f t="shared" si="6"/>
        <v/>
      </c>
    </row>
    <row r="105" spans="1:6" x14ac:dyDescent="0.25">
      <c r="A105" s="19" t="s">
        <v>238</v>
      </c>
      <c r="D105" s="19" t="str">
        <f t="shared" si="7"/>
        <v/>
      </c>
      <c r="E105" s="20" t="str">
        <f t="shared" si="5"/>
        <v/>
      </c>
      <c r="F105" s="21" t="str">
        <f t="shared" si="6"/>
        <v/>
      </c>
    </row>
    <row r="106" spans="1:6" x14ac:dyDescent="0.25">
      <c r="A106" s="19" t="s">
        <v>239</v>
      </c>
      <c r="D106" s="19" t="str">
        <f t="shared" si="7"/>
        <v/>
      </c>
      <c r="E106" s="20" t="str">
        <f t="shared" si="5"/>
        <v/>
      </c>
      <c r="F106" s="21" t="str">
        <f t="shared" si="6"/>
        <v/>
      </c>
    </row>
    <row r="107" spans="1:6" x14ac:dyDescent="0.25">
      <c r="A107" s="19" t="s">
        <v>240</v>
      </c>
      <c r="D107" s="19" t="str">
        <f t="shared" si="7"/>
        <v/>
      </c>
      <c r="E107" s="20" t="str">
        <f t="shared" si="5"/>
        <v/>
      </c>
      <c r="F107" s="21" t="str">
        <f t="shared" si="6"/>
        <v/>
      </c>
    </row>
    <row r="108" spans="1:6" x14ac:dyDescent="0.25">
      <c r="A108" s="19" t="s">
        <v>262</v>
      </c>
      <c r="D108" s="19" t="str">
        <f t="shared" si="7"/>
        <v/>
      </c>
      <c r="E108" s="20" t="str">
        <f t="shared" si="5"/>
        <v/>
      </c>
      <c r="F108" s="21" t="str">
        <f t="shared" si="6"/>
        <v/>
      </c>
    </row>
    <row r="109" spans="1:6" x14ac:dyDescent="0.25">
      <c r="A109" s="19" t="s">
        <v>241</v>
      </c>
      <c r="D109" s="19" t="str">
        <f t="shared" si="7"/>
        <v/>
      </c>
      <c r="E109" s="20" t="str">
        <f t="shared" si="5"/>
        <v/>
      </c>
      <c r="F109" s="21" t="str">
        <f t="shared" si="6"/>
        <v/>
      </c>
    </row>
    <row r="110" spans="1:6" x14ac:dyDescent="0.25">
      <c r="A110" s="19" t="s">
        <v>242</v>
      </c>
      <c r="D110" s="19" t="str">
        <f t="shared" si="7"/>
        <v/>
      </c>
      <c r="E110" s="20" t="str">
        <f t="shared" si="5"/>
        <v/>
      </c>
      <c r="F110" s="21" t="str">
        <f t="shared" si="6"/>
        <v/>
      </c>
    </row>
    <row r="111" spans="1:6" x14ac:dyDescent="0.25">
      <c r="A111" s="19" t="s">
        <v>266</v>
      </c>
      <c r="D111" s="19" t="str">
        <f t="shared" si="7"/>
        <v/>
      </c>
      <c r="E111" s="20" t="str">
        <f t="shared" si="5"/>
        <v/>
      </c>
      <c r="F111" s="21" t="str">
        <f t="shared" si="6"/>
        <v/>
      </c>
    </row>
    <row r="112" spans="1:6" x14ac:dyDescent="0.25">
      <c r="A112" s="19" t="s">
        <v>243</v>
      </c>
      <c r="D112" s="19" t="str">
        <f t="shared" si="7"/>
        <v/>
      </c>
      <c r="E112" s="20" t="str">
        <f t="shared" si="5"/>
        <v/>
      </c>
      <c r="F112" s="21" t="str">
        <f t="shared" si="6"/>
        <v/>
      </c>
    </row>
    <row r="113" spans="1:6" x14ac:dyDescent="0.25">
      <c r="A113" s="19" t="s">
        <v>269</v>
      </c>
      <c r="D113" s="19" t="str">
        <f t="shared" si="7"/>
        <v/>
      </c>
      <c r="E113" s="20" t="str">
        <f t="shared" si="5"/>
        <v/>
      </c>
      <c r="F113" s="21" t="str">
        <f t="shared" si="6"/>
        <v/>
      </c>
    </row>
    <row r="114" spans="1:6" x14ac:dyDescent="0.25">
      <c r="A114" s="19" t="s">
        <v>244</v>
      </c>
      <c r="D114" s="19" t="str">
        <f t="shared" si="7"/>
        <v/>
      </c>
      <c r="E114" s="20" t="str">
        <f t="shared" si="5"/>
        <v/>
      </c>
      <c r="F114" s="21" t="str">
        <f t="shared" si="6"/>
        <v/>
      </c>
    </row>
    <row r="115" spans="1:6" x14ac:dyDescent="0.25">
      <c r="A115" s="19" t="s">
        <v>245</v>
      </c>
      <c r="D115" s="19" t="str">
        <f t="shared" si="7"/>
        <v/>
      </c>
      <c r="E115" s="20" t="str">
        <f t="shared" si="5"/>
        <v/>
      </c>
      <c r="F115" s="21" t="str">
        <f t="shared" si="6"/>
        <v/>
      </c>
    </row>
    <row r="116" spans="1:6" x14ac:dyDescent="0.25">
      <c r="A116" s="19" t="s">
        <v>246</v>
      </c>
      <c r="D116" s="19" t="str">
        <f t="shared" si="7"/>
        <v/>
      </c>
      <c r="E116" s="20" t="str">
        <f t="shared" si="5"/>
        <v/>
      </c>
      <c r="F116" s="21" t="str">
        <f t="shared" si="6"/>
        <v/>
      </c>
    </row>
    <row r="117" spans="1:6" x14ac:dyDescent="0.25">
      <c r="A117" s="19" t="s">
        <v>274</v>
      </c>
      <c r="D117" s="19" t="str">
        <f t="shared" si="7"/>
        <v/>
      </c>
      <c r="E117" s="20" t="str">
        <f t="shared" si="5"/>
        <v/>
      </c>
      <c r="F117" s="21" t="str">
        <f t="shared" si="6"/>
        <v/>
      </c>
    </row>
    <row r="118" spans="1:6" x14ac:dyDescent="0.25">
      <c r="A118" s="19" t="s">
        <v>247</v>
      </c>
      <c r="D118" s="19" t="str">
        <f t="shared" si="7"/>
        <v/>
      </c>
      <c r="E118" s="20" t="str">
        <f t="shared" si="5"/>
        <v/>
      </c>
      <c r="F118" s="21" t="str">
        <f t="shared" si="6"/>
        <v/>
      </c>
    </row>
    <row r="119" spans="1:6" x14ac:dyDescent="0.25">
      <c r="A119" s="19" t="s">
        <v>248</v>
      </c>
      <c r="D119" s="19" t="str">
        <f t="shared" si="7"/>
        <v/>
      </c>
      <c r="E119" s="20" t="str">
        <f t="shared" si="5"/>
        <v/>
      </c>
      <c r="F119" s="21" t="str">
        <f t="shared" si="6"/>
        <v/>
      </c>
    </row>
    <row r="120" spans="1:6" x14ac:dyDescent="0.25">
      <c r="A120" s="19" t="s">
        <v>250</v>
      </c>
      <c r="D120" s="19" t="str">
        <f t="shared" si="7"/>
        <v/>
      </c>
      <c r="E120" s="20" t="str">
        <f t="shared" si="5"/>
        <v/>
      </c>
      <c r="F120" s="21" t="str">
        <f t="shared" si="6"/>
        <v/>
      </c>
    </row>
    <row r="121" spans="1:6" x14ac:dyDescent="0.25">
      <c r="A121" s="19" t="s">
        <v>251</v>
      </c>
      <c r="D121" s="19" t="str">
        <f t="shared" si="7"/>
        <v/>
      </c>
      <c r="E121" s="20" t="str">
        <f t="shared" si="5"/>
        <v/>
      </c>
      <c r="F121" s="21" t="str">
        <f t="shared" si="6"/>
        <v/>
      </c>
    </row>
    <row r="122" spans="1:6" x14ac:dyDescent="0.25">
      <c r="A122" s="19" t="s">
        <v>253</v>
      </c>
      <c r="D122" s="19" t="str">
        <f t="shared" si="7"/>
        <v/>
      </c>
      <c r="E122" s="20" t="str">
        <f t="shared" si="5"/>
        <v/>
      </c>
      <c r="F122" s="21" t="str">
        <f t="shared" si="6"/>
        <v/>
      </c>
    </row>
    <row r="123" spans="1:6" x14ac:dyDescent="0.25">
      <c r="A123" s="19" t="s">
        <v>254</v>
      </c>
      <c r="D123" s="19" t="str">
        <f t="shared" si="7"/>
        <v/>
      </c>
      <c r="E123" s="20" t="str">
        <f t="shared" si="5"/>
        <v/>
      </c>
      <c r="F123" s="21" t="str">
        <f t="shared" si="6"/>
        <v/>
      </c>
    </row>
    <row r="124" spans="1:6" x14ac:dyDescent="0.25">
      <c r="A124" s="19" t="s">
        <v>255</v>
      </c>
      <c r="D124" s="19" t="str">
        <f t="shared" si="7"/>
        <v/>
      </c>
      <c r="E124" s="20" t="str">
        <f t="shared" si="5"/>
        <v/>
      </c>
      <c r="F124" s="21" t="str">
        <f t="shared" si="6"/>
        <v/>
      </c>
    </row>
    <row r="125" spans="1:6" x14ac:dyDescent="0.25">
      <c r="A125" s="19" t="s">
        <v>256</v>
      </c>
      <c r="D125" s="19" t="str">
        <f t="shared" si="7"/>
        <v/>
      </c>
      <c r="E125" s="20" t="str">
        <f t="shared" si="5"/>
        <v/>
      </c>
      <c r="F125" s="21" t="str">
        <f t="shared" si="6"/>
        <v/>
      </c>
    </row>
    <row r="126" spans="1:6" x14ac:dyDescent="0.25">
      <c r="A126" s="19" t="s">
        <v>258</v>
      </c>
      <c r="D126" s="19" t="str">
        <f t="shared" si="7"/>
        <v/>
      </c>
      <c r="E126" s="20" t="str">
        <f t="shared" si="5"/>
        <v/>
      </c>
      <c r="F126" s="21" t="str">
        <f t="shared" si="6"/>
        <v/>
      </c>
    </row>
    <row r="127" spans="1:6" x14ac:dyDescent="0.25">
      <c r="A127" s="19" t="s">
        <v>285</v>
      </c>
      <c r="D127" s="19" t="str">
        <f t="shared" si="7"/>
        <v/>
      </c>
      <c r="E127" s="20" t="str">
        <f t="shared" si="5"/>
        <v/>
      </c>
      <c r="F127" s="21" t="str">
        <f t="shared" si="6"/>
        <v/>
      </c>
    </row>
    <row r="128" spans="1:6" x14ac:dyDescent="0.25">
      <c r="A128" s="19" t="s">
        <v>259</v>
      </c>
      <c r="D128" s="19" t="str">
        <f t="shared" si="7"/>
        <v/>
      </c>
      <c r="E128" s="20" t="str">
        <f t="shared" si="5"/>
        <v/>
      </c>
      <c r="F128" s="21" t="str">
        <f t="shared" si="6"/>
        <v/>
      </c>
    </row>
    <row r="129" spans="1:6" x14ac:dyDescent="0.25">
      <c r="A129" s="19" t="s">
        <v>260</v>
      </c>
      <c r="D129" s="19" t="str">
        <f t="shared" si="7"/>
        <v/>
      </c>
      <c r="E129" s="20" t="str">
        <f t="shared" si="5"/>
        <v/>
      </c>
      <c r="F129" s="21" t="str">
        <f t="shared" si="6"/>
        <v/>
      </c>
    </row>
    <row r="130" spans="1:6" x14ac:dyDescent="0.25">
      <c r="A130" s="19" t="s">
        <v>261</v>
      </c>
      <c r="D130" s="19" t="str">
        <f t="shared" si="7"/>
        <v/>
      </c>
      <c r="E130" s="20" t="str">
        <f t="shared" si="5"/>
        <v/>
      </c>
      <c r="F130" s="21" t="str">
        <f t="shared" si="6"/>
        <v/>
      </c>
    </row>
    <row r="131" spans="1:6" x14ac:dyDescent="0.25">
      <c r="A131" s="19" t="s">
        <v>263</v>
      </c>
      <c r="D131" s="19" t="str">
        <f t="shared" si="7"/>
        <v/>
      </c>
      <c r="E131" s="20" t="str">
        <f t="shared" ref="E131:E194" si="8">IF(D131&lt;&gt;"",INDEX($B$2:$C$387,D131,1),"")</f>
        <v/>
      </c>
      <c r="F131" s="21" t="str">
        <f t="shared" ref="F131:F194" si="9">IF(D131&lt;&gt;"",INDEX($B$2:$C$566,D131,2),"")</f>
        <v/>
      </c>
    </row>
    <row r="132" spans="1:6" x14ac:dyDescent="0.25">
      <c r="A132" s="19" t="s">
        <v>264</v>
      </c>
      <c r="D132" s="19" t="str">
        <f t="shared" ref="D132:D195" si="10">IFERROR(MATCH(A132,$B$2:$B$579,),"")</f>
        <v/>
      </c>
      <c r="E132" s="20" t="str">
        <f t="shared" si="8"/>
        <v/>
      </c>
      <c r="F132" s="21" t="str">
        <f t="shared" si="9"/>
        <v/>
      </c>
    </row>
    <row r="133" spans="1:6" x14ac:dyDescent="0.25">
      <c r="A133" s="19" t="s">
        <v>265</v>
      </c>
      <c r="D133" s="19" t="str">
        <f t="shared" si="10"/>
        <v/>
      </c>
      <c r="E133" s="20" t="str">
        <f t="shared" si="8"/>
        <v/>
      </c>
      <c r="F133" s="21" t="str">
        <f t="shared" si="9"/>
        <v/>
      </c>
    </row>
    <row r="134" spans="1:6" x14ac:dyDescent="0.25">
      <c r="A134" s="19" t="s">
        <v>267</v>
      </c>
      <c r="D134" s="19" t="str">
        <f t="shared" si="10"/>
        <v/>
      </c>
      <c r="E134" s="20" t="str">
        <f t="shared" si="8"/>
        <v/>
      </c>
      <c r="F134" s="21" t="str">
        <f t="shared" si="9"/>
        <v/>
      </c>
    </row>
    <row r="135" spans="1:6" x14ac:dyDescent="0.25">
      <c r="A135" s="19" t="s">
        <v>268</v>
      </c>
      <c r="D135" s="19" t="str">
        <f t="shared" si="10"/>
        <v/>
      </c>
      <c r="E135" s="20" t="str">
        <f t="shared" si="8"/>
        <v/>
      </c>
      <c r="F135" s="21" t="str">
        <f t="shared" si="9"/>
        <v/>
      </c>
    </row>
    <row r="136" spans="1:6" x14ac:dyDescent="0.25">
      <c r="A136" s="19" t="s">
        <v>270</v>
      </c>
      <c r="D136" s="19" t="str">
        <f t="shared" si="10"/>
        <v/>
      </c>
      <c r="E136" s="20" t="str">
        <f t="shared" si="8"/>
        <v/>
      </c>
      <c r="F136" s="21" t="str">
        <f t="shared" si="9"/>
        <v/>
      </c>
    </row>
    <row r="137" spans="1:6" x14ac:dyDescent="0.25">
      <c r="A137" s="19" t="s">
        <v>271</v>
      </c>
      <c r="D137" s="19" t="str">
        <f t="shared" si="10"/>
        <v/>
      </c>
      <c r="E137" s="20" t="str">
        <f t="shared" si="8"/>
        <v/>
      </c>
      <c r="F137" s="21" t="str">
        <f t="shared" si="9"/>
        <v/>
      </c>
    </row>
    <row r="138" spans="1:6" x14ac:dyDescent="0.25">
      <c r="A138" s="19" t="s">
        <v>272</v>
      </c>
      <c r="D138" s="19" t="str">
        <f t="shared" si="10"/>
        <v/>
      </c>
      <c r="E138" s="20" t="str">
        <f t="shared" si="8"/>
        <v/>
      </c>
      <c r="F138" s="21" t="str">
        <f t="shared" si="9"/>
        <v/>
      </c>
    </row>
    <row r="139" spans="1:6" x14ac:dyDescent="0.25">
      <c r="A139" s="19" t="s">
        <v>273</v>
      </c>
      <c r="D139" s="19" t="str">
        <f t="shared" si="10"/>
        <v/>
      </c>
      <c r="E139" s="20" t="str">
        <f t="shared" si="8"/>
        <v/>
      </c>
      <c r="F139" s="21" t="str">
        <f t="shared" si="9"/>
        <v/>
      </c>
    </row>
    <row r="140" spans="1:6" x14ac:dyDescent="0.25">
      <c r="A140" s="19" t="s">
        <v>275</v>
      </c>
      <c r="D140" s="19" t="str">
        <f t="shared" si="10"/>
        <v/>
      </c>
      <c r="E140" s="20" t="str">
        <f t="shared" si="8"/>
        <v/>
      </c>
      <c r="F140" s="21" t="str">
        <f t="shared" si="9"/>
        <v/>
      </c>
    </row>
    <row r="141" spans="1:6" x14ac:dyDescent="0.25">
      <c r="A141" s="19" t="s">
        <v>300</v>
      </c>
      <c r="D141" s="19" t="str">
        <f t="shared" si="10"/>
        <v/>
      </c>
      <c r="E141" s="20" t="str">
        <f t="shared" si="8"/>
        <v/>
      </c>
      <c r="F141" s="21" t="str">
        <f t="shared" si="9"/>
        <v/>
      </c>
    </row>
    <row r="142" spans="1:6" x14ac:dyDescent="0.25">
      <c r="A142" s="19" t="s">
        <v>276</v>
      </c>
      <c r="D142" s="19" t="str">
        <f t="shared" si="10"/>
        <v/>
      </c>
      <c r="E142" s="20" t="str">
        <f t="shared" si="8"/>
        <v/>
      </c>
      <c r="F142" s="21" t="str">
        <f t="shared" si="9"/>
        <v/>
      </c>
    </row>
    <row r="143" spans="1:6" x14ac:dyDescent="0.25">
      <c r="A143" s="19" t="s">
        <v>277</v>
      </c>
      <c r="D143" s="19" t="str">
        <f t="shared" si="10"/>
        <v/>
      </c>
      <c r="E143" s="20" t="str">
        <f t="shared" si="8"/>
        <v/>
      </c>
      <c r="F143" s="21" t="str">
        <f t="shared" si="9"/>
        <v/>
      </c>
    </row>
    <row r="144" spans="1:6" x14ac:dyDescent="0.25">
      <c r="A144" s="19" t="s">
        <v>278</v>
      </c>
      <c r="D144" s="19" t="str">
        <f t="shared" si="10"/>
        <v/>
      </c>
      <c r="E144" s="20" t="str">
        <f t="shared" si="8"/>
        <v/>
      </c>
      <c r="F144" s="21" t="str">
        <f t="shared" si="9"/>
        <v/>
      </c>
    </row>
    <row r="145" spans="1:6" x14ac:dyDescent="0.25">
      <c r="A145" s="19" t="s">
        <v>279</v>
      </c>
      <c r="D145" s="19" t="str">
        <f t="shared" si="10"/>
        <v/>
      </c>
      <c r="E145" s="20" t="str">
        <f t="shared" si="8"/>
        <v/>
      </c>
      <c r="F145" s="21" t="str">
        <f t="shared" si="9"/>
        <v/>
      </c>
    </row>
    <row r="146" spans="1:6" x14ac:dyDescent="0.25">
      <c r="A146" s="19" t="s">
        <v>280</v>
      </c>
      <c r="D146" s="19" t="str">
        <f t="shared" si="10"/>
        <v/>
      </c>
      <c r="E146" s="20" t="str">
        <f t="shared" si="8"/>
        <v/>
      </c>
      <c r="F146" s="21" t="str">
        <f t="shared" si="9"/>
        <v/>
      </c>
    </row>
    <row r="147" spans="1:6" x14ac:dyDescent="0.25">
      <c r="A147" s="19" t="s">
        <v>281</v>
      </c>
      <c r="D147" s="19" t="str">
        <f t="shared" si="10"/>
        <v/>
      </c>
      <c r="E147" s="20" t="str">
        <f t="shared" si="8"/>
        <v/>
      </c>
      <c r="F147" s="21" t="str">
        <f t="shared" si="9"/>
        <v/>
      </c>
    </row>
    <row r="148" spans="1:6" x14ac:dyDescent="0.25">
      <c r="A148" s="19" t="s">
        <v>282</v>
      </c>
      <c r="D148" s="19" t="str">
        <f t="shared" si="10"/>
        <v/>
      </c>
      <c r="E148" s="20" t="str">
        <f t="shared" si="8"/>
        <v/>
      </c>
      <c r="F148" s="21" t="str">
        <f t="shared" si="9"/>
        <v/>
      </c>
    </row>
    <row r="149" spans="1:6" x14ac:dyDescent="0.25">
      <c r="A149" s="19" t="s">
        <v>283</v>
      </c>
      <c r="D149" s="19" t="str">
        <f t="shared" si="10"/>
        <v/>
      </c>
      <c r="E149" s="20" t="str">
        <f t="shared" si="8"/>
        <v/>
      </c>
      <c r="F149" s="21" t="str">
        <f t="shared" si="9"/>
        <v/>
      </c>
    </row>
    <row r="150" spans="1:6" x14ac:dyDescent="0.25">
      <c r="A150" s="19" t="s">
        <v>284</v>
      </c>
      <c r="D150" s="19" t="str">
        <f t="shared" si="10"/>
        <v/>
      </c>
      <c r="E150" s="20" t="str">
        <f t="shared" si="8"/>
        <v/>
      </c>
      <c r="F150" s="21" t="str">
        <f t="shared" si="9"/>
        <v/>
      </c>
    </row>
    <row r="151" spans="1:6" x14ac:dyDescent="0.25">
      <c r="A151" s="19" t="s">
        <v>286</v>
      </c>
      <c r="D151" s="19" t="str">
        <f t="shared" si="10"/>
        <v/>
      </c>
      <c r="E151" s="20" t="str">
        <f t="shared" si="8"/>
        <v/>
      </c>
      <c r="F151" s="21" t="str">
        <f t="shared" si="9"/>
        <v/>
      </c>
    </row>
    <row r="152" spans="1:6" x14ac:dyDescent="0.25">
      <c r="A152" s="19" t="s">
        <v>287</v>
      </c>
      <c r="D152" s="19" t="str">
        <f t="shared" si="10"/>
        <v/>
      </c>
      <c r="E152" s="20" t="str">
        <f t="shared" si="8"/>
        <v/>
      </c>
      <c r="F152" s="21" t="str">
        <f t="shared" si="9"/>
        <v/>
      </c>
    </row>
    <row r="153" spans="1:6" x14ac:dyDescent="0.25">
      <c r="A153" s="19" t="s">
        <v>313</v>
      </c>
      <c r="D153" s="19" t="str">
        <f t="shared" si="10"/>
        <v/>
      </c>
      <c r="E153" s="20" t="str">
        <f t="shared" si="8"/>
        <v/>
      </c>
      <c r="F153" s="21" t="str">
        <f t="shared" si="9"/>
        <v/>
      </c>
    </row>
    <row r="154" spans="1:6" x14ac:dyDescent="0.25">
      <c r="A154" s="19" t="s">
        <v>288</v>
      </c>
      <c r="D154" s="19" t="str">
        <f t="shared" si="10"/>
        <v/>
      </c>
      <c r="E154" s="20" t="str">
        <f t="shared" si="8"/>
        <v/>
      </c>
      <c r="F154" s="21" t="str">
        <f t="shared" si="9"/>
        <v/>
      </c>
    </row>
    <row r="155" spans="1:6" x14ac:dyDescent="0.25">
      <c r="A155" s="19" t="s">
        <v>289</v>
      </c>
      <c r="D155" s="19" t="str">
        <f t="shared" si="10"/>
        <v/>
      </c>
      <c r="E155" s="20" t="str">
        <f t="shared" si="8"/>
        <v/>
      </c>
      <c r="F155" s="21" t="str">
        <f t="shared" si="9"/>
        <v/>
      </c>
    </row>
    <row r="156" spans="1:6" x14ac:dyDescent="0.25">
      <c r="A156" s="19" t="s">
        <v>290</v>
      </c>
      <c r="D156" s="19" t="str">
        <f t="shared" si="10"/>
        <v/>
      </c>
      <c r="E156" s="20" t="str">
        <f t="shared" si="8"/>
        <v/>
      </c>
      <c r="F156" s="21" t="str">
        <f t="shared" si="9"/>
        <v/>
      </c>
    </row>
    <row r="157" spans="1:6" x14ac:dyDescent="0.25">
      <c r="A157" s="19" t="s">
        <v>291</v>
      </c>
      <c r="D157" s="19" t="str">
        <f t="shared" si="10"/>
        <v/>
      </c>
      <c r="E157" s="20" t="str">
        <f t="shared" si="8"/>
        <v/>
      </c>
      <c r="F157" s="21" t="str">
        <f t="shared" si="9"/>
        <v/>
      </c>
    </row>
    <row r="158" spans="1:6" x14ac:dyDescent="0.25">
      <c r="A158" s="19" t="s">
        <v>319</v>
      </c>
      <c r="D158" s="19" t="str">
        <f t="shared" si="10"/>
        <v/>
      </c>
      <c r="E158" s="20" t="str">
        <f t="shared" si="8"/>
        <v/>
      </c>
      <c r="F158" s="21" t="str">
        <f t="shared" si="9"/>
        <v/>
      </c>
    </row>
    <row r="159" spans="1:6" x14ac:dyDescent="0.25">
      <c r="A159" s="19" t="s">
        <v>292</v>
      </c>
      <c r="D159" s="19" t="str">
        <f t="shared" si="10"/>
        <v/>
      </c>
      <c r="E159" s="20" t="str">
        <f t="shared" si="8"/>
        <v/>
      </c>
      <c r="F159" s="21" t="str">
        <f t="shared" si="9"/>
        <v/>
      </c>
    </row>
    <row r="160" spans="1:6" x14ac:dyDescent="0.25">
      <c r="A160" s="19" t="s">
        <v>293</v>
      </c>
      <c r="D160" s="19" t="str">
        <f t="shared" si="10"/>
        <v/>
      </c>
      <c r="E160" s="20" t="str">
        <f t="shared" si="8"/>
        <v/>
      </c>
      <c r="F160" s="21" t="str">
        <f t="shared" si="9"/>
        <v/>
      </c>
    </row>
    <row r="161" spans="1:6" x14ac:dyDescent="0.25">
      <c r="A161" s="19" t="s">
        <v>294</v>
      </c>
      <c r="D161" s="19" t="str">
        <f t="shared" si="10"/>
        <v/>
      </c>
      <c r="E161" s="20" t="str">
        <f t="shared" si="8"/>
        <v/>
      </c>
      <c r="F161" s="21" t="str">
        <f t="shared" si="9"/>
        <v/>
      </c>
    </row>
    <row r="162" spans="1:6" x14ac:dyDescent="0.25">
      <c r="A162" s="19" t="s">
        <v>295</v>
      </c>
      <c r="D162" s="19" t="str">
        <f t="shared" si="10"/>
        <v/>
      </c>
      <c r="E162" s="20" t="str">
        <f t="shared" si="8"/>
        <v/>
      </c>
      <c r="F162" s="21" t="str">
        <f t="shared" si="9"/>
        <v/>
      </c>
    </row>
    <row r="163" spans="1:6" x14ac:dyDescent="0.25">
      <c r="A163" s="19" t="s">
        <v>296</v>
      </c>
      <c r="D163" s="19" t="str">
        <f t="shared" si="10"/>
        <v/>
      </c>
      <c r="E163" s="20" t="str">
        <f t="shared" si="8"/>
        <v/>
      </c>
      <c r="F163" s="21" t="str">
        <f t="shared" si="9"/>
        <v/>
      </c>
    </row>
    <row r="164" spans="1:6" x14ac:dyDescent="0.25">
      <c r="A164" s="19" t="s">
        <v>297</v>
      </c>
      <c r="D164" s="19" t="str">
        <f t="shared" si="10"/>
        <v/>
      </c>
      <c r="E164" s="20" t="str">
        <f t="shared" si="8"/>
        <v/>
      </c>
      <c r="F164" s="21" t="str">
        <f t="shared" si="9"/>
        <v/>
      </c>
    </row>
    <row r="165" spans="1:6" x14ac:dyDescent="0.25">
      <c r="A165" s="19" t="s">
        <v>298</v>
      </c>
      <c r="D165" s="19" t="str">
        <f t="shared" si="10"/>
        <v/>
      </c>
      <c r="E165" s="20" t="str">
        <f t="shared" si="8"/>
        <v/>
      </c>
      <c r="F165" s="21" t="str">
        <f t="shared" si="9"/>
        <v/>
      </c>
    </row>
    <row r="166" spans="1:6" x14ac:dyDescent="0.25">
      <c r="A166" s="19" t="s">
        <v>299</v>
      </c>
      <c r="D166" s="19" t="str">
        <f t="shared" si="10"/>
        <v/>
      </c>
      <c r="E166" s="20" t="str">
        <f t="shared" si="8"/>
        <v/>
      </c>
      <c r="F166" s="21" t="str">
        <f t="shared" si="9"/>
        <v/>
      </c>
    </row>
    <row r="167" spans="1:6" x14ac:dyDescent="0.25">
      <c r="A167" s="19" t="s">
        <v>301</v>
      </c>
      <c r="D167" s="19" t="str">
        <f t="shared" si="10"/>
        <v/>
      </c>
      <c r="E167" s="20" t="str">
        <f t="shared" si="8"/>
        <v/>
      </c>
      <c r="F167" s="21" t="str">
        <f t="shared" si="9"/>
        <v/>
      </c>
    </row>
    <row r="168" spans="1:6" x14ac:dyDescent="0.25">
      <c r="A168" s="19" t="s">
        <v>302</v>
      </c>
      <c r="D168" s="19" t="str">
        <f t="shared" si="10"/>
        <v/>
      </c>
      <c r="E168" s="20" t="str">
        <f t="shared" si="8"/>
        <v/>
      </c>
      <c r="F168" s="21" t="str">
        <f t="shared" si="9"/>
        <v/>
      </c>
    </row>
    <row r="169" spans="1:6" x14ac:dyDescent="0.25">
      <c r="A169" s="19" t="s">
        <v>303</v>
      </c>
      <c r="D169" s="19" t="str">
        <f t="shared" si="10"/>
        <v/>
      </c>
      <c r="E169" s="20" t="str">
        <f t="shared" si="8"/>
        <v/>
      </c>
      <c r="F169" s="21" t="str">
        <f t="shared" si="9"/>
        <v/>
      </c>
    </row>
    <row r="170" spans="1:6" x14ac:dyDescent="0.25">
      <c r="A170" s="19" t="s">
        <v>304</v>
      </c>
      <c r="D170" s="19" t="str">
        <f t="shared" si="10"/>
        <v/>
      </c>
      <c r="E170" s="20" t="str">
        <f t="shared" si="8"/>
        <v/>
      </c>
      <c r="F170" s="21" t="str">
        <f t="shared" si="9"/>
        <v/>
      </c>
    </row>
    <row r="171" spans="1:6" x14ac:dyDescent="0.25">
      <c r="A171" s="19" t="s">
        <v>305</v>
      </c>
      <c r="D171" s="19" t="str">
        <f t="shared" si="10"/>
        <v/>
      </c>
      <c r="E171" s="20" t="str">
        <f t="shared" si="8"/>
        <v/>
      </c>
      <c r="F171" s="21" t="str">
        <f t="shared" si="9"/>
        <v/>
      </c>
    </row>
    <row r="172" spans="1:6" x14ac:dyDescent="0.25">
      <c r="A172" s="19" t="s">
        <v>306</v>
      </c>
      <c r="D172" s="19" t="str">
        <f t="shared" si="10"/>
        <v/>
      </c>
      <c r="E172" s="20" t="str">
        <f t="shared" si="8"/>
        <v/>
      </c>
      <c r="F172" s="21" t="str">
        <f t="shared" si="9"/>
        <v/>
      </c>
    </row>
    <row r="173" spans="1:6" x14ac:dyDescent="0.25">
      <c r="A173" s="19" t="s">
        <v>307</v>
      </c>
      <c r="D173" s="19" t="str">
        <f t="shared" si="10"/>
        <v/>
      </c>
      <c r="E173" s="20" t="str">
        <f t="shared" si="8"/>
        <v/>
      </c>
      <c r="F173" s="21" t="str">
        <f t="shared" si="9"/>
        <v/>
      </c>
    </row>
    <row r="174" spans="1:6" x14ac:dyDescent="0.25">
      <c r="A174" s="19" t="s">
        <v>308</v>
      </c>
      <c r="D174" s="19" t="str">
        <f t="shared" si="10"/>
        <v/>
      </c>
      <c r="E174" s="20" t="str">
        <f t="shared" si="8"/>
        <v/>
      </c>
      <c r="F174" s="21" t="str">
        <f t="shared" si="9"/>
        <v/>
      </c>
    </row>
    <row r="175" spans="1:6" x14ac:dyDescent="0.25">
      <c r="A175" s="19" t="s">
        <v>309</v>
      </c>
      <c r="D175" s="19" t="str">
        <f t="shared" si="10"/>
        <v/>
      </c>
      <c r="E175" s="20" t="str">
        <f t="shared" si="8"/>
        <v/>
      </c>
      <c r="F175" s="21" t="str">
        <f t="shared" si="9"/>
        <v/>
      </c>
    </row>
    <row r="176" spans="1:6" x14ac:dyDescent="0.25">
      <c r="A176" s="19" t="s">
        <v>338</v>
      </c>
      <c r="D176" s="19" t="str">
        <f t="shared" si="10"/>
        <v/>
      </c>
      <c r="E176" s="20" t="str">
        <f t="shared" si="8"/>
        <v/>
      </c>
      <c r="F176" s="21" t="str">
        <f t="shared" si="9"/>
        <v/>
      </c>
    </row>
    <row r="177" spans="1:6" x14ac:dyDescent="0.25">
      <c r="A177" s="19" t="s">
        <v>310</v>
      </c>
      <c r="D177" s="19" t="str">
        <f t="shared" si="10"/>
        <v/>
      </c>
      <c r="E177" s="20" t="str">
        <f t="shared" si="8"/>
        <v/>
      </c>
      <c r="F177" s="21" t="str">
        <f t="shared" si="9"/>
        <v/>
      </c>
    </row>
    <row r="178" spans="1:6" x14ac:dyDescent="0.25">
      <c r="A178" s="19" t="s">
        <v>311</v>
      </c>
      <c r="D178" s="19" t="str">
        <f t="shared" si="10"/>
        <v/>
      </c>
      <c r="E178" s="20" t="str">
        <f t="shared" si="8"/>
        <v/>
      </c>
      <c r="F178" s="21" t="str">
        <f t="shared" si="9"/>
        <v/>
      </c>
    </row>
    <row r="179" spans="1:6" x14ac:dyDescent="0.25">
      <c r="A179" s="19" t="s">
        <v>312</v>
      </c>
      <c r="D179" s="19" t="str">
        <f t="shared" si="10"/>
        <v/>
      </c>
      <c r="E179" s="20" t="str">
        <f t="shared" si="8"/>
        <v/>
      </c>
      <c r="F179" s="21" t="str">
        <f t="shared" si="9"/>
        <v/>
      </c>
    </row>
    <row r="180" spans="1:6" x14ac:dyDescent="0.25">
      <c r="A180" s="19" t="s">
        <v>314</v>
      </c>
      <c r="D180" s="19" t="str">
        <f t="shared" si="10"/>
        <v/>
      </c>
      <c r="E180" s="20" t="str">
        <f t="shared" si="8"/>
        <v/>
      </c>
      <c r="F180" s="21" t="str">
        <f t="shared" si="9"/>
        <v/>
      </c>
    </row>
    <row r="181" spans="1:6" x14ac:dyDescent="0.25">
      <c r="A181" s="19" t="s">
        <v>315</v>
      </c>
      <c r="D181" s="19" t="str">
        <f t="shared" si="10"/>
        <v/>
      </c>
      <c r="E181" s="20" t="str">
        <f t="shared" si="8"/>
        <v/>
      </c>
      <c r="F181" s="21" t="str">
        <f t="shared" si="9"/>
        <v/>
      </c>
    </row>
    <row r="182" spans="1:6" x14ac:dyDescent="0.25">
      <c r="A182" s="19" t="s">
        <v>316</v>
      </c>
      <c r="D182" s="19" t="str">
        <f t="shared" si="10"/>
        <v/>
      </c>
      <c r="E182" s="20" t="str">
        <f t="shared" si="8"/>
        <v/>
      </c>
      <c r="F182" s="21" t="str">
        <f t="shared" si="9"/>
        <v/>
      </c>
    </row>
    <row r="183" spans="1:6" x14ac:dyDescent="0.25">
      <c r="A183" s="19" t="s">
        <v>317</v>
      </c>
      <c r="D183" s="19" t="str">
        <f t="shared" si="10"/>
        <v/>
      </c>
      <c r="E183" s="20" t="str">
        <f t="shared" si="8"/>
        <v/>
      </c>
      <c r="F183" s="21" t="str">
        <f t="shared" si="9"/>
        <v/>
      </c>
    </row>
    <row r="184" spans="1:6" x14ac:dyDescent="0.25">
      <c r="A184" s="19" t="s">
        <v>318</v>
      </c>
      <c r="D184" s="19" t="str">
        <f t="shared" si="10"/>
        <v/>
      </c>
      <c r="E184" s="20" t="str">
        <f t="shared" si="8"/>
        <v/>
      </c>
      <c r="F184" s="21" t="str">
        <f t="shared" si="9"/>
        <v/>
      </c>
    </row>
    <row r="185" spans="1:6" x14ac:dyDescent="0.25">
      <c r="A185" s="19" t="s">
        <v>320</v>
      </c>
      <c r="D185" s="19" t="str">
        <f t="shared" si="10"/>
        <v/>
      </c>
      <c r="E185" s="20" t="str">
        <f t="shared" si="8"/>
        <v/>
      </c>
      <c r="F185" s="21" t="str">
        <f t="shared" si="9"/>
        <v/>
      </c>
    </row>
    <row r="186" spans="1:6" x14ac:dyDescent="0.25">
      <c r="A186" s="19" t="s">
        <v>349</v>
      </c>
      <c r="D186" s="19" t="str">
        <f t="shared" si="10"/>
        <v/>
      </c>
      <c r="E186" s="20" t="str">
        <f t="shared" si="8"/>
        <v/>
      </c>
      <c r="F186" s="21" t="str">
        <f t="shared" si="9"/>
        <v/>
      </c>
    </row>
    <row r="187" spans="1:6" x14ac:dyDescent="0.25">
      <c r="A187" s="19" t="s">
        <v>321</v>
      </c>
      <c r="D187" s="19" t="str">
        <f t="shared" si="10"/>
        <v/>
      </c>
      <c r="E187" s="20" t="str">
        <f t="shared" si="8"/>
        <v/>
      </c>
      <c r="F187" s="21" t="str">
        <f t="shared" si="9"/>
        <v/>
      </c>
    </row>
    <row r="188" spans="1:6" x14ac:dyDescent="0.25">
      <c r="A188" s="19" t="s">
        <v>322</v>
      </c>
      <c r="D188" s="19" t="str">
        <f t="shared" si="10"/>
        <v/>
      </c>
      <c r="E188" s="20" t="str">
        <f t="shared" si="8"/>
        <v/>
      </c>
      <c r="F188" s="21" t="str">
        <f t="shared" si="9"/>
        <v/>
      </c>
    </row>
    <row r="189" spans="1:6" x14ac:dyDescent="0.25">
      <c r="A189" s="19" t="s">
        <v>323</v>
      </c>
      <c r="D189" s="19" t="str">
        <f t="shared" si="10"/>
        <v/>
      </c>
      <c r="E189" s="20" t="str">
        <f t="shared" si="8"/>
        <v/>
      </c>
      <c r="F189" s="21" t="str">
        <f t="shared" si="9"/>
        <v/>
      </c>
    </row>
    <row r="190" spans="1:6" x14ac:dyDescent="0.25">
      <c r="A190" s="19" t="s">
        <v>324</v>
      </c>
      <c r="D190" s="19" t="str">
        <f t="shared" si="10"/>
        <v/>
      </c>
      <c r="E190" s="20" t="str">
        <f t="shared" si="8"/>
        <v/>
      </c>
      <c r="F190" s="21" t="str">
        <f t="shared" si="9"/>
        <v/>
      </c>
    </row>
    <row r="191" spans="1:6" x14ac:dyDescent="0.25">
      <c r="A191" s="19" t="s">
        <v>325</v>
      </c>
      <c r="D191" s="19" t="str">
        <f t="shared" si="10"/>
        <v/>
      </c>
      <c r="E191" s="20" t="str">
        <f t="shared" si="8"/>
        <v/>
      </c>
      <c r="F191" s="21" t="str">
        <f t="shared" si="9"/>
        <v/>
      </c>
    </row>
    <row r="192" spans="1:6" x14ac:dyDescent="0.25">
      <c r="A192" s="19" t="s">
        <v>326</v>
      </c>
      <c r="D192" s="19" t="str">
        <f t="shared" si="10"/>
        <v/>
      </c>
      <c r="E192" s="20" t="str">
        <f t="shared" si="8"/>
        <v/>
      </c>
      <c r="F192" s="21" t="str">
        <f t="shared" si="9"/>
        <v/>
      </c>
    </row>
    <row r="193" spans="1:6" x14ac:dyDescent="0.25">
      <c r="A193" s="19" t="s">
        <v>327</v>
      </c>
      <c r="D193" s="19" t="str">
        <f t="shared" si="10"/>
        <v/>
      </c>
      <c r="E193" s="20" t="str">
        <f t="shared" si="8"/>
        <v/>
      </c>
      <c r="F193" s="21" t="str">
        <f t="shared" si="9"/>
        <v/>
      </c>
    </row>
    <row r="194" spans="1:6" x14ac:dyDescent="0.25">
      <c r="A194" s="19" t="s">
        <v>328</v>
      </c>
      <c r="D194" s="19" t="str">
        <f t="shared" si="10"/>
        <v/>
      </c>
      <c r="E194" s="20" t="str">
        <f t="shared" si="8"/>
        <v/>
      </c>
      <c r="F194" s="21" t="str">
        <f t="shared" si="9"/>
        <v/>
      </c>
    </row>
    <row r="195" spans="1:6" x14ac:dyDescent="0.25">
      <c r="A195" s="19" t="s">
        <v>359</v>
      </c>
      <c r="D195" s="19" t="str">
        <f t="shared" si="10"/>
        <v/>
      </c>
      <c r="E195" s="20" t="str">
        <f t="shared" ref="E195:E258" si="11">IF(D195&lt;&gt;"",INDEX($B$2:$C$387,D195,1),"")</f>
        <v/>
      </c>
      <c r="F195" s="21" t="str">
        <f t="shared" ref="F195:F258" si="12">IF(D195&lt;&gt;"",INDEX($B$2:$C$566,D195,2),"")</f>
        <v/>
      </c>
    </row>
    <row r="196" spans="1:6" x14ac:dyDescent="0.25">
      <c r="A196" s="19" t="s">
        <v>329</v>
      </c>
      <c r="D196" s="19" t="str">
        <f t="shared" ref="D196:D259" si="13">IFERROR(MATCH(A196,$B$2:$B$579,),"")</f>
        <v/>
      </c>
      <c r="E196" s="20" t="str">
        <f t="shared" si="11"/>
        <v/>
      </c>
      <c r="F196" s="21" t="str">
        <f t="shared" si="12"/>
        <v/>
      </c>
    </row>
    <row r="197" spans="1:6" x14ac:dyDescent="0.25">
      <c r="A197" s="19" t="s">
        <v>330</v>
      </c>
      <c r="D197" s="19" t="str">
        <f t="shared" si="13"/>
        <v/>
      </c>
      <c r="E197" s="20" t="str">
        <f t="shared" si="11"/>
        <v/>
      </c>
      <c r="F197" s="21" t="str">
        <f t="shared" si="12"/>
        <v/>
      </c>
    </row>
    <row r="198" spans="1:6" x14ac:dyDescent="0.25">
      <c r="A198" s="19" t="s">
        <v>331</v>
      </c>
      <c r="D198" s="19" t="str">
        <f t="shared" si="13"/>
        <v/>
      </c>
      <c r="E198" s="20" t="str">
        <f t="shared" si="11"/>
        <v/>
      </c>
      <c r="F198" s="21" t="str">
        <f t="shared" si="12"/>
        <v/>
      </c>
    </row>
    <row r="199" spans="1:6" x14ac:dyDescent="0.25">
      <c r="A199" s="19" t="s">
        <v>332</v>
      </c>
      <c r="D199" s="19" t="str">
        <f t="shared" si="13"/>
        <v/>
      </c>
      <c r="E199" s="20" t="str">
        <f t="shared" si="11"/>
        <v/>
      </c>
      <c r="F199" s="21" t="str">
        <f t="shared" si="12"/>
        <v/>
      </c>
    </row>
    <row r="200" spans="1:6" x14ac:dyDescent="0.25">
      <c r="A200" s="19" t="s">
        <v>333</v>
      </c>
      <c r="D200" s="19" t="str">
        <f t="shared" si="13"/>
        <v/>
      </c>
      <c r="E200" s="20" t="str">
        <f t="shared" si="11"/>
        <v/>
      </c>
      <c r="F200" s="21" t="str">
        <f t="shared" si="12"/>
        <v/>
      </c>
    </row>
    <row r="201" spans="1:6" x14ac:dyDescent="0.25">
      <c r="A201" s="19" t="s">
        <v>334</v>
      </c>
      <c r="D201" s="19" t="str">
        <f t="shared" si="13"/>
        <v/>
      </c>
      <c r="E201" s="20" t="str">
        <f t="shared" si="11"/>
        <v/>
      </c>
      <c r="F201" s="21" t="str">
        <f t="shared" si="12"/>
        <v/>
      </c>
    </row>
    <row r="202" spans="1:6" x14ac:dyDescent="0.25">
      <c r="A202" s="19" t="s">
        <v>335</v>
      </c>
      <c r="D202" s="19" t="str">
        <f t="shared" si="13"/>
        <v/>
      </c>
      <c r="E202" s="20" t="str">
        <f t="shared" si="11"/>
        <v/>
      </c>
      <c r="F202" s="21" t="str">
        <f t="shared" si="12"/>
        <v/>
      </c>
    </row>
    <row r="203" spans="1:6" x14ac:dyDescent="0.25">
      <c r="A203" s="19" t="s">
        <v>336</v>
      </c>
      <c r="D203" s="19" t="str">
        <f t="shared" si="13"/>
        <v/>
      </c>
      <c r="E203" s="20" t="str">
        <f t="shared" si="11"/>
        <v/>
      </c>
      <c r="F203" s="21" t="str">
        <f t="shared" si="12"/>
        <v/>
      </c>
    </row>
    <row r="204" spans="1:6" x14ac:dyDescent="0.25">
      <c r="A204" s="19" t="s">
        <v>337</v>
      </c>
      <c r="D204" s="19" t="str">
        <f t="shared" si="13"/>
        <v/>
      </c>
      <c r="E204" s="20" t="str">
        <f t="shared" si="11"/>
        <v/>
      </c>
      <c r="F204" s="21" t="str">
        <f t="shared" si="12"/>
        <v/>
      </c>
    </row>
    <row r="205" spans="1:6" x14ac:dyDescent="0.25">
      <c r="A205" s="19" t="s">
        <v>339</v>
      </c>
      <c r="D205" s="19" t="str">
        <f t="shared" si="13"/>
        <v/>
      </c>
      <c r="E205" s="20" t="str">
        <f t="shared" si="11"/>
        <v/>
      </c>
      <c r="F205" s="21" t="str">
        <f t="shared" si="12"/>
        <v/>
      </c>
    </row>
    <row r="206" spans="1:6" x14ac:dyDescent="0.25">
      <c r="A206" s="19" t="s">
        <v>340</v>
      </c>
      <c r="D206" s="19" t="str">
        <f t="shared" si="13"/>
        <v/>
      </c>
      <c r="E206" s="20" t="str">
        <f t="shared" si="11"/>
        <v/>
      </c>
      <c r="F206" s="21" t="str">
        <f t="shared" si="12"/>
        <v/>
      </c>
    </row>
    <row r="207" spans="1:6" x14ac:dyDescent="0.25">
      <c r="A207" s="19" t="s">
        <v>341</v>
      </c>
      <c r="D207" s="19" t="str">
        <f t="shared" si="13"/>
        <v/>
      </c>
      <c r="E207" s="20" t="str">
        <f t="shared" si="11"/>
        <v/>
      </c>
      <c r="F207" s="21" t="str">
        <f t="shared" si="12"/>
        <v/>
      </c>
    </row>
    <row r="208" spans="1:6" x14ac:dyDescent="0.25">
      <c r="A208" s="19" t="s">
        <v>342</v>
      </c>
      <c r="D208" s="19" t="str">
        <f t="shared" si="13"/>
        <v/>
      </c>
      <c r="E208" s="20" t="str">
        <f t="shared" si="11"/>
        <v/>
      </c>
      <c r="F208" s="21" t="str">
        <f t="shared" si="12"/>
        <v/>
      </c>
    </row>
    <row r="209" spans="1:6" x14ac:dyDescent="0.25">
      <c r="A209" s="19" t="s">
        <v>343</v>
      </c>
      <c r="D209" s="19" t="str">
        <f t="shared" si="13"/>
        <v/>
      </c>
      <c r="E209" s="20" t="str">
        <f t="shared" si="11"/>
        <v/>
      </c>
      <c r="F209" s="21" t="str">
        <f t="shared" si="12"/>
        <v/>
      </c>
    </row>
    <row r="210" spans="1:6" x14ac:dyDescent="0.25">
      <c r="A210" s="19" t="s">
        <v>344</v>
      </c>
      <c r="D210" s="19" t="str">
        <f t="shared" si="13"/>
        <v/>
      </c>
      <c r="E210" s="20" t="str">
        <f t="shared" si="11"/>
        <v/>
      </c>
      <c r="F210" s="21" t="str">
        <f t="shared" si="12"/>
        <v/>
      </c>
    </row>
    <row r="211" spans="1:6" x14ac:dyDescent="0.25">
      <c r="A211" s="19" t="s">
        <v>376</v>
      </c>
      <c r="D211" s="19" t="str">
        <f t="shared" si="13"/>
        <v/>
      </c>
      <c r="E211" s="20" t="str">
        <f t="shared" si="11"/>
        <v/>
      </c>
      <c r="F211" s="21" t="str">
        <f t="shared" si="12"/>
        <v/>
      </c>
    </row>
    <row r="212" spans="1:6" x14ac:dyDescent="0.25">
      <c r="A212" s="19" t="s">
        <v>345</v>
      </c>
      <c r="D212" s="19" t="str">
        <f t="shared" si="13"/>
        <v/>
      </c>
      <c r="E212" s="20" t="str">
        <f t="shared" si="11"/>
        <v/>
      </c>
      <c r="F212" s="21" t="str">
        <f t="shared" si="12"/>
        <v/>
      </c>
    </row>
    <row r="213" spans="1:6" x14ac:dyDescent="0.25">
      <c r="A213" s="19" t="s">
        <v>346</v>
      </c>
      <c r="D213" s="19" t="str">
        <f t="shared" si="13"/>
        <v/>
      </c>
      <c r="E213" s="20" t="str">
        <f t="shared" si="11"/>
        <v/>
      </c>
      <c r="F213" s="21" t="str">
        <f t="shared" si="12"/>
        <v/>
      </c>
    </row>
    <row r="214" spans="1:6" x14ac:dyDescent="0.25">
      <c r="A214" s="19" t="s">
        <v>347</v>
      </c>
      <c r="D214" s="19" t="str">
        <f t="shared" si="13"/>
        <v/>
      </c>
      <c r="E214" s="20" t="str">
        <f t="shared" si="11"/>
        <v/>
      </c>
      <c r="F214" s="21" t="str">
        <f t="shared" si="12"/>
        <v/>
      </c>
    </row>
    <row r="215" spans="1:6" x14ac:dyDescent="0.25">
      <c r="A215" s="19" t="s">
        <v>348</v>
      </c>
      <c r="D215" s="19" t="str">
        <f t="shared" si="13"/>
        <v/>
      </c>
      <c r="E215" s="20" t="str">
        <f t="shared" si="11"/>
        <v/>
      </c>
      <c r="F215" s="21" t="str">
        <f t="shared" si="12"/>
        <v/>
      </c>
    </row>
    <row r="216" spans="1:6" x14ac:dyDescent="0.25">
      <c r="A216" s="19" t="s">
        <v>350</v>
      </c>
      <c r="D216" s="19" t="str">
        <f t="shared" si="13"/>
        <v/>
      </c>
      <c r="E216" s="20" t="str">
        <f t="shared" si="11"/>
        <v/>
      </c>
      <c r="F216" s="21" t="str">
        <f t="shared" si="12"/>
        <v/>
      </c>
    </row>
    <row r="217" spans="1:6" x14ac:dyDescent="0.25">
      <c r="A217" s="19" t="s">
        <v>383</v>
      </c>
      <c r="D217" s="19" t="str">
        <f t="shared" si="13"/>
        <v/>
      </c>
      <c r="E217" s="20" t="str">
        <f t="shared" si="11"/>
        <v/>
      </c>
      <c r="F217" s="21" t="str">
        <f t="shared" si="12"/>
        <v/>
      </c>
    </row>
    <row r="218" spans="1:6" x14ac:dyDescent="0.25">
      <c r="A218" s="19" t="s">
        <v>351</v>
      </c>
      <c r="D218" s="19" t="str">
        <f t="shared" si="13"/>
        <v/>
      </c>
      <c r="E218" s="20" t="str">
        <f t="shared" si="11"/>
        <v/>
      </c>
      <c r="F218" s="21" t="str">
        <f t="shared" si="12"/>
        <v/>
      </c>
    </row>
    <row r="219" spans="1:6" x14ac:dyDescent="0.25">
      <c r="A219" s="19" t="s">
        <v>352</v>
      </c>
      <c r="D219" s="19" t="str">
        <f t="shared" si="13"/>
        <v/>
      </c>
      <c r="E219" s="20" t="str">
        <f t="shared" si="11"/>
        <v/>
      </c>
      <c r="F219" s="21" t="str">
        <f t="shared" si="12"/>
        <v/>
      </c>
    </row>
    <row r="220" spans="1:6" x14ac:dyDescent="0.25">
      <c r="A220" s="19" t="s">
        <v>353</v>
      </c>
      <c r="D220" s="19" t="str">
        <f t="shared" si="13"/>
        <v/>
      </c>
      <c r="E220" s="20" t="str">
        <f t="shared" si="11"/>
        <v/>
      </c>
      <c r="F220" s="21" t="str">
        <f t="shared" si="12"/>
        <v/>
      </c>
    </row>
    <row r="221" spans="1:6" x14ac:dyDescent="0.25">
      <c r="A221" s="19" t="s">
        <v>354</v>
      </c>
      <c r="D221" s="19" t="str">
        <f t="shared" si="13"/>
        <v/>
      </c>
      <c r="E221" s="20" t="str">
        <f t="shared" si="11"/>
        <v/>
      </c>
      <c r="F221" s="21" t="str">
        <f t="shared" si="12"/>
        <v/>
      </c>
    </row>
    <row r="222" spans="1:6" x14ac:dyDescent="0.25">
      <c r="A222" s="19" t="s">
        <v>355</v>
      </c>
      <c r="D222" s="19" t="str">
        <f t="shared" si="13"/>
        <v/>
      </c>
      <c r="E222" s="20" t="str">
        <f t="shared" si="11"/>
        <v/>
      </c>
      <c r="F222" s="21" t="str">
        <f t="shared" si="12"/>
        <v/>
      </c>
    </row>
    <row r="223" spans="1:6" x14ac:dyDescent="0.25">
      <c r="A223" s="19" t="s">
        <v>356</v>
      </c>
      <c r="D223" s="19" t="str">
        <f t="shared" si="13"/>
        <v/>
      </c>
      <c r="E223" s="20" t="str">
        <f t="shared" si="11"/>
        <v/>
      </c>
      <c r="F223" s="21" t="str">
        <f t="shared" si="12"/>
        <v/>
      </c>
    </row>
    <row r="224" spans="1:6" x14ac:dyDescent="0.25">
      <c r="A224" s="19" t="s">
        <v>357</v>
      </c>
      <c r="D224" s="19" t="str">
        <f t="shared" si="13"/>
        <v/>
      </c>
      <c r="E224" s="20" t="str">
        <f t="shared" si="11"/>
        <v/>
      </c>
      <c r="F224" s="21" t="str">
        <f t="shared" si="12"/>
        <v/>
      </c>
    </row>
    <row r="225" spans="1:6" x14ac:dyDescent="0.25">
      <c r="A225" s="19" t="s">
        <v>358</v>
      </c>
      <c r="D225" s="19" t="str">
        <f t="shared" si="13"/>
        <v/>
      </c>
      <c r="E225" s="20" t="str">
        <f t="shared" si="11"/>
        <v/>
      </c>
      <c r="F225" s="21" t="str">
        <f t="shared" si="12"/>
        <v/>
      </c>
    </row>
    <row r="226" spans="1:6" x14ac:dyDescent="0.25">
      <c r="A226" s="19" t="s">
        <v>360</v>
      </c>
      <c r="D226" s="19" t="str">
        <f t="shared" si="13"/>
        <v/>
      </c>
      <c r="E226" s="20" t="str">
        <f t="shared" si="11"/>
        <v/>
      </c>
      <c r="F226" s="21" t="str">
        <f t="shared" si="12"/>
        <v/>
      </c>
    </row>
    <row r="227" spans="1:6" x14ac:dyDescent="0.25">
      <c r="A227" s="19" t="s">
        <v>361</v>
      </c>
      <c r="D227" s="19" t="str">
        <f t="shared" si="13"/>
        <v/>
      </c>
      <c r="E227" s="20" t="str">
        <f t="shared" si="11"/>
        <v/>
      </c>
      <c r="F227" s="21" t="str">
        <f t="shared" si="12"/>
        <v/>
      </c>
    </row>
    <row r="228" spans="1:6" x14ac:dyDescent="0.25">
      <c r="A228" s="19" t="s">
        <v>362</v>
      </c>
      <c r="D228" s="19" t="str">
        <f t="shared" si="13"/>
        <v/>
      </c>
      <c r="E228" s="20" t="str">
        <f t="shared" si="11"/>
        <v/>
      </c>
      <c r="F228" s="21" t="str">
        <f t="shared" si="12"/>
        <v/>
      </c>
    </row>
    <row r="229" spans="1:6" x14ac:dyDescent="0.25">
      <c r="A229" s="19" t="s">
        <v>363</v>
      </c>
      <c r="D229" s="19" t="str">
        <f t="shared" si="13"/>
        <v/>
      </c>
      <c r="E229" s="20" t="str">
        <f t="shared" si="11"/>
        <v/>
      </c>
      <c r="F229" s="21" t="str">
        <f t="shared" si="12"/>
        <v/>
      </c>
    </row>
    <row r="230" spans="1:6" x14ac:dyDescent="0.25">
      <c r="A230" s="19" t="s">
        <v>364</v>
      </c>
      <c r="D230" s="19" t="str">
        <f t="shared" si="13"/>
        <v/>
      </c>
      <c r="E230" s="20" t="str">
        <f t="shared" si="11"/>
        <v/>
      </c>
      <c r="F230" s="21" t="str">
        <f t="shared" si="12"/>
        <v/>
      </c>
    </row>
    <row r="231" spans="1:6" x14ac:dyDescent="0.25">
      <c r="A231" s="19" t="s">
        <v>365</v>
      </c>
      <c r="D231" s="19" t="str">
        <f t="shared" si="13"/>
        <v/>
      </c>
      <c r="E231" s="20" t="str">
        <f t="shared" si="11"/>
        <v/>
      </c>
      <c r="F231" s="21" t="str">
        <f t="shared" si="12"/>
        <v/>
      </c>
    </row>
    <row r="232" spans="1:6" x14ac:dyDescent="0.25">
      <c r="A232" s="19" t="s">
        <v>366</v>
      </c>
      <c r="D232" s="19" t="str">
        <f t="shared" si="13"/>
        <v/>
      </c>
      <c r="E232" s="20" t="str">
        <f t="shared" si="11"/>
        <v/>
      </c>
      <c r="F232" s="21" t="str">
        <f t="shared" si="12"/>
        <v/>
      </c>
    </row>
    <row r="233" spans="1:6" x14ac:dyDescent="0.25">
      <c r="A233" s="19" t="s">
        <v>367</v>
      </c>
      <c r="D233" s="19" t="str">
        <f t="shared" si="13"/>
        <v/>
      </c>
      <c r="E233" s="20" t="str">
        <f t="shared" si="11"/>
        <v/>
      </c>
      <c r="F233" s="21" t="str">
        <f t="shared" si="12"/>
        <v/>
      </c>
    </row>
    <row r="234" spans="1:6" x14ac:dyDescent="0.25">
      <c r="A234" s="19" t="s">
        <v>368</v>
      </c>
      <c r="D234" s="19" t="str">
        <f t="shared" si="13"/>
        <v/>
      </c>
      <c r="E234" s="20" t="str">
        <f t="shared" si="11"/>
        <v/>
      </c>
      <c r="F234" s="21" t="str">
        <f t="shared" si="12"/>
        <v/>
      </c>
    </row>
    <row r="235" spans="1:6" x14ac:dyDescent="0.25">
      <c r="A235" s="19" t="s">
        <v>369</v>
      </c>
      <c r="D235" s="19" t="str">
        <f t="shared" si="13"/>
        <v/>
      </c>
      <c r="E235" s="20" t="str">
        <f t="shared" si="11"/>
        <v/>
      </c>
      <c r="F235" s="21" t="str">
        <f t="shared" si="12"/>
        <v/>
      </c>
    </row>
    <row r="236" spans="1:6" x14ac:dyDescent="0.25">
      <c r="A236" s="19" t="s">
        <v>370</v>
      </c>
      <c r="D236" s="19" t="str">
        <f t="shared" si="13"/>
        <v/>
      </c>
      <c r="E236" s="20" t="str">
        <f t="shared" si="11"/>
        <v/>
      </c>
      <c r="F236" s="21" t="str">
        <f t="shared" si="12"/>
        <v/>
      </c>
    </row>
    <row r="237" spans="1:6" x14ac:dyDescent="0.25">
      <c r="A237" s="19" t="s">
        <v>371</v>
      </c>
      <c r="D237" s="19" t="str">
        <f t="shared" si="13"/>
        <v/>
      </c>
      <c r="E237" s="20" t="str">
        <f t="shared" si="11"/>
        <v/>
      </c>
      <c r="F237" s="21" t="str">
        <f t="shared" si="12"/>
        <v/>
      </c>
    </row>
    <row r="238" spans="1:6" x14ac:dyDescent="0.25">
      <c r="A238" s="19" t="s">
        <v>372</v>
      </c>
      <c r="D238" s="19" t="str">
        <f t="shared" si="13"/>
        <v/>
      </c>
      <c r="E238" s="20" t="str">
        <f t="shared" si="11"/>
        <v/>
      </c>
      <c r="F238" s="21" t="str">
        <f t="shared" si="12"/>
        <v/>
      </c>
    </row>
    <row r="239" spans="1:6" x14ac:dyDescent="0.25">
      <c r="A239" s="19" t="s">
        <v>373</v>
      </c>
      <c r="D239" s="19" t="str">
        <f t="shared" si="13"/>
        <v/>
      </c>
      <c r="E239" s="20" t="str">
        <f t="shared" si="11"/>
        <v/>
      </c>
      <c r="F239" s="21" t="str">
        <f t="shared" si="12"/>
        <v/>
      </c>
    </row>
    <row r="240" spans="1:6" x14ac:dyDescent="0.25">
      <c r="A240" s="19" t="s">
        <v>374</v>
      </c>
      <c r="D240" s="19" t="str">
        <f t="shared" si="13"/>
        <v/>
      </c>
      <c r="E240" s="20" t="str">
        <f t="shared" si="11"/>
        <v/>
      </c>
      <c r="F240" s="21" t="str">
        <f t="shared" si="12"/>
        <v/>
      </c>
    </row>
    <row r="241" spans="1:6" x14ac:dyDescent="0.25">
      <c r="A241" s="19" t="s">
        <v>375</v>
      </c>
      <c r="D241" s="19" t="str">
        <f t="shared" si="13"/>
        <v/>
      </c>
      <c r="E241" s="20" t="str">
        <f t="shared" si="11"/>
        <v/>
      </c>
      <c r="F241" s="21" t="str">
        <f t="shared" si="12"/>
        <v/>
      </c>
    </row>
    <row r="242" spans="1:6" x14ac:dyDescent="0.25">
      <c r="A242" s="19" t="s">
        <v>409</v>
      </c>
      <c r="D242" s="19" t="str">
        <f t="shared" si="13"/>
        <v/>
      </c>
      <c r="E242" s="20" t="str">
        <f t="shared" si="11"/>
        <v/>
      </c>
      <c r="F242" s="21" t="str">
        <f t="shared" si="12"/>
        <v/>
      </c>
    </row>
    <row r="243" spans="1:6" x14ac:dyDescent="0.25">
      <c r="A243" s="19" t="s">
        <v>377</v>
      </c>
      <c r="D243" s="19" t="str">
        <f t="shared" si="13"/>
        <v/>
      </c>
      <c r="E243" s="20" t="str">
        <f t="shared" si="11"/>
        <v/>
      </c>
      <c r="F243" s="21" t="str">
        <f t="shared" si="12"/>
        <v/>
      </c>
    </row>
    <row r="244" spans="1:6" x14ac:dyDescent="0.25">
      <c r="A244" s="19" t="s">
        <v>378</v>
      </c>
      <c r="D244" s="19" t="str">
        <f t="shared" si="13"/>
        <v/>
      </c>
      <c r="E244" s="20" t="str">
        <f t="shared" si="11"/>
        <v/>
      </c>
      <c r="F244" s="21" t="str">
        <f t="shared" si="12"/>
        <v/>
      </c>
    </row>
    <row r="245" spans="1:6" x14ac:dyDescent="0.25">
      <c r="A245" s="19" t="s">
        <v>413</v>
      </c>
      <c r="D245" s="19" t="str">
        <f t="shared" si="13"/>
        <v/>
      </c>
      <c r="E245" s="20" t="str">
        <f t="shared" si="11"/>
        <v/>
      </c>
      <c r="F245" s="21" t="str">
        <f t="shared" si="12"/>
        <v/>
      </c>
    </row>
    <row r="246" spans="1:6" x14ac:dyDescent="0.25">
      <c r="A246" s="19" t="s">
        <v>379</v>
      </c>
      <c r="D246" s="19" t="str">
        <f t="shared" si="13"/>
        <v/>
      </c>
      <c r="E246" s="20" t="str">
        <f t="shared" si="11"/>
        <v/>
      </c>
      <c r="F246" s="21" t="str">
        <f t="shared" si="12"/>
        <v/>
      </c>
    </row>
    <row r="247" spans="1:6" x14ac:dyDescent="0.25">
      <c r="A247" s="19" t="s">
        <v>416</v>
      </c>
      <c r="D247" s="19" t="str">
        <f t="shared" si="13"/>
        <v/>
      </c>
      <c r="E247" s="20" t="str">
        <f t="shared" si="11"/>
        <v/>
      </c>
      <c r="F247" s="21" t="str">
        <f t="shared" si="12"/>
        <v/>
      </c>
    </row>
    <row r="248" spans="1:6" x14ac:dyDescent="0.25">
      <c r="A248" s="19" t="s">
        <v>418</v>
      </c>
      <c r="D248" s="19" t="str">
        <f t="shared" si="13"/>
        <v/>
      </c>
      <c r="E248" s="20" t="str">
        <f t="shared" si="11"/>
        <v/>
      </c>
      <c r="F248" s="21" t="str">
        <f t="shared" si="12"/>
        <v/>
      </c>
    </row>
    <row r="249" spans="1:6" x14ac:dyDescent="0.25">
      <c r="A249" s="19" t="s">
        <v>380</v>
      </c>
      <c r="D249" s="19" t="str">
        <f t="shared" si="13"/>
        <v/>
      </c>
      <c r="E249" s="20" t="str">
        <f t="shared" si="11"/>
        <v/>
      </c>
      <c r="F249" s="21" t="str">
        <f t="shared" si="12"/>
        <v/>
      </c>
    </row>
    <row r="250" spans="1:6" x14ac:dyDescent="0.25">
      <c r="A250" s="19" t="s">
        <v>381</v>
      </c>
      <c r="D250" s="19" t="str">
        <f t="shared" si="13"/>
        <v/>
      </c>
      <c r="E250" s="20" t="str">
        <f t="shared" si="11"/>
        <v/>
      </c>
      <c r="F250" s="21" t="str">
        <f t="shared" si="12"/>
        <v/>
      </c>
    </row>
    <row r="251" spans="1:6" x14ac:dyDescent="0.25">
      <c r="A251" s="19" t="s">
        <v>382</v>
      </c>
      <c r="D251" s="19" t="str">
        <f t="shared" si="13"/>
        <v/>
      </c>
      <c r="E251" s="20" t="str">
        <f t="shared" si="11"/>
        <v/>
      </c>
      <c r="F251" s="21" t="str">
        <f t="shared" si="12"/>
        <v/>
      </c>
    </row>
    <row r="252" spans="1:6" x14ac:dyDescent="0.25">
      <c r="A252" s="19" t="s">
        <v>384</v>
      </c>
      <c r="D252" s="19" t="str">
        <f t="shared" si="13"/>
        <v/>
      </c>
      <c r="E252" s="20" t="str">
        <f t="shared" si="11"/>
        <v/>
      </c>
      <c r="F252" s="21" t="str">
        <f t="shared" si="12"/>
        <v/>
      </c>
    </row>
    <row r="253" spans="1:6" x14ac:dyDescent="0.25">
      <c r="A253" s="19" t="s">
        <v>385</v>
      </c>
      <c r="D253" s="19" t="str">
        <f t="shared" si="13"/>
        <v/>
      </c>
      <c r="E253" s="20" t="str">
        <f t="shared" si="11"/>
        <v/>
      </c>
      <c r="F253" s="21" t="str">
        <f t="shared" si="12"/>
        <v/>
      </c>
    </row>
    <row r="254" spans="1:6" x14ac:dyDescent="0.25">
      <c r="A254" s="19" t="s">
        <v>386</v>
      </c>
      <c r="D254" s="19" t="str">
        <f t="shared" si="13"/>
        <v/>
      </c>
      <c r="E254" s="20" t="str">
        <f t="shared" si="11"/>
        <v/>
      </c>
      <c r="F254" s="21" t="str">
        <f t="shared" si="12"/>
        <v/>
      </c>
    </row>
    <row r="255" spans="1:6" x14ac:dyDescent="0.25">
      <c r="A255" s="19" t="s">
        <v>387</v>
      </c>
      <c r="D255" s="19" t="str">
        <f t="shared" si="13"/>
        <v/>
      </c>
      <c r="E255" s="20" t="str">
        <f t="shared" si="11"/>
        <v/>
      </c>
      <c r="F255" s="21" t="str">
        <f t="shared" si="12"/>
        <v/>
      </c>
    </row>
    <row r="256" spans="1:6" x14ac:dyDescent="0.25">
      <c r="A256" s="19" t="s">
        <v>388</v>
      </c>
      <c r="D256" s="19" t="str">
        <f t="shared" si="13"/>
        <v/>
      </c>
      <c r="E256" s="20" t="str">
        <f t="shared" si="11"/>
        <v/>
      </c>
      <c r="F256" s="21" t="str">
        <f t="shared" si="12"/>
        <v/>
      </c>
    </row>
    <row r="257" spans="1:6" x14ac:dyDescent="0.25">
      <c r="A257" s="19" t="s">
        <v>389</v>
      </c>
      <c r="D257" s="19" t="str">
        <f t="shared" si="13"/>
        <v/>
      </c>
      <c r="E257" s="20" t="str">
        <f t="shared" si="11"/>
        <v/>
      </c>
      <c r="F257" s="21" t="str">
        <f t="shared" si="12"/>
        <v/>
      </c>
    </row>
    <row r="258" spans="1:6" x14ac:dyDescent="0.25">
      <c r="A258" s="19" t="s">
        <v>390</v>
      </c>
      <c r="D258" s="19" t="str">
        <f t="shared" si="13"/>
        <v/>
      </c>
      <c r="E258" s="20" t="str">
        <f t="shared" si="11"/>
        <v/>
      </c>
      <c r="F258" s="21" t="str">
        <f t="shared" si="12"/>
        <v/>
      </c>
    </row>
    <row r="259" spans="1:6" x14ac:dyDescent="0.25">
      <c r="A259" s="19" t="s">
        <v>391</v>
      </c>
      <c r="D259" s="19" t="str">
        <f t="shared" si="13"/>
        <v/>
      </c>
      <c r="E259" s="20" t="str">
        <f t="shared" ref="E259:E322" si="14">IF(D259&lt;&gt;"",INDEX($B$2:$C$387,D259,1),"")</f>
        <v/>
      </c>
      <c r="F259" s="21" t="str">
        <f t="shared" ref="F259:F322" si="15">IF(D259&lt;&gt;"",INDEX($B$2:$C$566,D259,2),"")</f>
        <v/>
      </c>
    </row>
    <row r="260" spans="1:6" x14ac:dyDescent="0.25">
      <c r="A260" s="19" t="s">
        <v>392</v>
      </c>
      <c r="D260" s="19" t="str">
        <f t="shared" ref="D260:D323" si="16">IFERROR(MATCH(A260,$B$2:$B$579,),"")</f>
        <v/>
      </c>
      <c r="E260" s="20" t="str">
        <f t="shared" si="14"/>
        <v/>
      </c>
      <c r="F260" s="21" t="str">
        <f t="shared" si="15"/>
        <v/>
      </c>
    </row>
    <row r="261" spans="1:6" x14ac:dyDescent="0.25">
      <c r="A261" s="19" t="s">
        <v>393</v>
      </c>
      <c r="D261" s="19" t="str">
        <f t="shared" si="16"/>
        <v/>
      </c>
      <c r="E261" s="20" t="str">
        <f t="shared" si="14"/>
        <v/>
      </c>
      <c r="F261" s="21" t="str">
        <f t="shared" si="15"/>
        <v/>
      </c>
    </row>
    <row r="262" spans="1:6" x14ac:dyDescent="0.25">
      <c r="A262" s="19" t="s">
        <v>394</v>
      </c>
      <c r="D262" s="19" t="str">
        <f t="shared" si="16"/>
        <v/>
      </c>
      <c r="E262" s="20" t="str">
        <f t="shared" si="14"/>
        <v/>
      </c>
      <c r="F262" s="21" t="str">
        <f t="shared" si="15"/>
        <v/>
      </c>
    </row>
    <row r="263" spans="1:6" x14ac:dyDescent="0.25">
      <c r="A263" s="19" t="s">
        <v>395</v>
      </c>
      <c r="D263" s="19" t="str">
        <f t="shared" si="16"/>
        <v/>
      </c>
      <c r="E263" s="20" t="str">
        <f t="shared" si="14"/>
        <v/>
      </c>
      <c r="F263" s="21" t="str">
        <f t="shared" si="15"/>
        <v/>
      </c>
    </row>
    <row r="264" spans="1:6" x14ac:dyDescent="0.25">
      <c r="A264" s="19" t="s">
        <v>396</v>
      </c>
      <c r="D264" s="19" t="str">
        <f t="shared" si="16"/>
        <v/>
      </c>
      <c r="E264" s="20" t="str">
        <f t="shared" si="14"/>
        <v/>
      </c>
      <c r="F264" s="21" t="str">
        <f t="shared" si="15"/>
        <v/>
      </c>
    </row>
    <row r="265" spans="1:6" x14ac:dyDescent="0.25">
      <c r="A265" s="19" t="s">
        <v>397</v>
      </c>
      <c r="D265" s="19" t="str">
        <f t="shared" si="16"/>
        <v/>
      </c>
      <c r="E265" s="20" t="str">
        <f t="shared" si="14"/>
        <v/>
      </c>
      <c r="F265" s="21" t="str">
        <f t="shared" si="15"/>
        <v/>
      </c>
    </row>
    <row r="266" spans="1:6" x14ac:dyDescent="0.25">
      <c r="A266" s="19" t="s">
        <v>398</v>
      </c>
      <c r="D266" s="19" t="str">
        <f t="shared" si="16"/>
        <v/>
      </c>
      <c r="E266" s="20" t="str">
        <f t="shared" si="14"/>
        <v/>
      </c>
      <c r="F266" s="21" t="str">
        <f t="shared" si="15"/>
        <v/>
      </c>
    </row>
    <row r="267" spans="1:6" x14ac:dyDescent="0.25">
      <c r="A267" s="19" t="s">
        <v>399</v>
      </c>
      <c r="D267" s="19" t="str">
        <f t="shared" si="16"/>
        <v/>
      </c>
      <c r="E267" s="20" t="str">
        <f t="shared" si="14"/>
        <v/>
      </c>
      <c r="F267" s="21" t="str">
        <f t="shared" si="15"/>
        <v/>
      </c>
    </row>
    <row r="268" spans="1:6" x14ac:dyDescent="0.25">
      <c r="A268" s="19" t="s">
        <v>400</v>
      </c>
      <c r="D268" s="19" t="str">
        <f t="shared" si="16"/>
        <v/>
      </c>
      <c r="E268" s="20" t="str">
        <f t="shared" si="14"/>
        <v/>
      </c>
      <c r="F268" s="21" t="str">
        <f t="shared" si="15"/>
        <v/>
      </c>
    </row>
    <row r="269" spans="1:6" x14ac:dyDescent="0.25">
      <c r="A269" s="19" t="s">
        <v>401</v>
      </c>
      <c r="D269" s="19" t="str">
        <f t="shared" si="16"/>
        <v/>
      </c>
      <c r="E269" s="20" t="str">
        <f t="shared" si="14"/>
        <v/>
      </c>
      <c r="F269" s="21" t="str">
        <f t="shared" si="15"/>
        <v/>
      </c>
    </row>
    <row r="270" spans="1:6" x14ac:dyDescent="0.25">
      <c r="A270" s="19" t="s">
        <v>402</v>
      </c>
      <c r="D270" s="19" t="str">
        <f t="shared" si="16"/>
        <v/>
      </c>
      <c r="E270" s="20" t="str">
        <f t="shared" si="14"/>
        <v/>
      </c>
      <c r="F270" s="21" t="str">
        <f t="shared" si="15"/>
        <v/>
      </c>
    </row>
    <row r="271" spans="1:6" x14ac:dyDescent="0.25">
      <c r="A271" s="19" t="s">
        <v>403</v>
      </c>
      <c r="D271" s="19" t="str">
        <f t="shared" si="16"/>
        <v/>
      </c>
      <c r="E271" s="20" t="str">
        <f t="shared" si="14"/>
        <v/>
      </c>
      <c r="F271" s="21" t="str">
        <f t="shared" si="15"/>
        <v/>
      </c>
    </row>
    <row r="272" spans="1:6" x14ac:dyDescent="0.25">
      <c r="A272" s="19" t="s">
        <v>404</v>
      </c>
      <c r="D272" s="19" t="str">
        <f t="shared" si="16"/>
        <v/>
      </c>
      <c r="E272" s="20" t="str">
        <f t="shared" si="14"/>
        <v/>
      </c>
      <c r="F272" s="21" t="str">
        <f t="shared" si="15"/>
        <v/>
      </c>
    </row>
    <row r="273" spans="1:6" x14ac:dyDescent="0.25">
      <c r="A273" s="19" t="s">
        <v>405</v>
      </c>
      <c r="D273" s="19" t="str">
        <f t="shared" si="16"/>
        <v/>
      </c>
      <c r="E273" s="20" t="str">
        <f t="shared" si="14"/>
        <v/>
      </c>
      <c r="F273" s="21" t="str">
        <f t="shared" si="15"/>
        <v/>
      </c>
    </row>
    <row r="274" spans="1:6" x14ac:dyDescent="0.25">
      <c r="A274" s="19" t="s">
        <v>406</v>
      </c>
      <c r="D274" s="19" t="str">
        <f t="shared" si="16"/>
        <v/>
      </c>
      <c r="E274" s="20" t="str">
        <f t="shared" si="14"/>
        <v/>
      </c>
      <c r="F274" s="21" t="str">
        <f t="shared" si="15"/>
        <v/>
      </c>
    </row>
    <row r="275" spans="1:6" x14ac:dyDescent="0.25">
      <c r="A275" s="19" t="s">
        <v>407</v>
      </c>
      <c r="D275" s="19" t="str">
        <f t="shared" si="16"/>
        <v/>
      </c>
      <c r="E275" s="20" t="str">
        <f t="shared" si="14"/>
        <v/>
      </c>
      <c r="F275" s="21" t="str">
        <f t="shared" si="15"/>
        <v/>
      </c>
    </row>
    <row r="276" spans="1:6" x14ac:dyDescent="0.25">
      <c r="A276" s="19" t="s">
        <v>408</v>
      </c>
      <c r="D276" s="19" t="str">
        <f t="shared" si="16"/>
        <v/>
      </c>
      <c r="E276" s="20" t="str">
        <f t="shared" si="14"/>
        <v/>
      </c>
      <c r="F276" s="21" t="str">
        <f t="shared" si="15"/>
        <v/>
      </c>
    </row>
    <row r="277" spans="1:6" x14ac:dyDescent="0.25">
      <c r="A277" s="19" t="s">
        <v>448</v>
      </c>
      <c r="D277" s="19" t="str">
        <f t="shared" si="16"/>
        <v/>
      </c>
      <c r="E277" s="20" t="str">
        <f t="shared" si="14"/>
        <v/>
      </c>
      <c r="F277" s="21" t="str">
        <f t="shared" si="15"/>
        <v/>
      </c>
    </row>
    <row r="278" spans="1:6" x14ac:dyDescent="0.25">
      <c r="A278" s="19" t="s">
        <v>410</v>
      </c>
      <c r="D278" s="19" t="str">
        <f t="shared" si="16"/>
        <v/>
      </c>
      <c r="E278" s="20" t="str">
        <f t="shared" si="14"/>
        <v/>
      </c>
      <c r="F278" s="21" t="str">
        <f t="shared" si="15"/>
        <v/>
      </c>
    </row>
    <row r="279" spans="1:6" x14ac:dyDescent="0.25">
      <c r="A279" s="19" t="s">
        <v>411</v>
      </c>
      <c r="D279" s="19" t="str">
        <f t="shared" si="16"/>
        <v/>
      </c>
      <c r="E279" s="20" t="str">
        <f t="shared" si="14"/>
        <v/>
      </c>
      <c r="F279" s="21" t="str">
        <f t="shared" si="15"/>
        <v/>
      </c>
    </row>
    <row r="280" spans="1:6" x14ac:dyDescent="0.25">
      <c r="A280" s="19" t="s">
        <v>412</v>
      </c>
      <c r="D280" s="19" t="str">
        <f t="shared" si="16"/>
        <v/>
      </c>
      <c r="E280" s="20" t="str">
        <f t="shared" si="14"/>
        <v/>
      </c>
      <c r="F280" s="21" t="str">
        <f t="shared" si="15"/>
        <v/>
      </c>
    </row>
    <row r="281" spans="1:6" x14ac:dyDescent="0.25">
      <c r="A281" s="19" t="s">
        <v>414</v>
      </c>
      <c r="D281" s="19" t="str">
        <f t="shared" si="16"/>
        <v/>
      </c>
      <c r="E281" s="20" t="str">
        <f t="shared" si="14"/>
        <v/>
      </c>
      <c r="F281" s="21" t="str">
        <f t="shared" si="15"/>
        <v/>
      </c>
    </row>
    <row r="282" spans="1:6" x14ac:dyDescent="0.25">
      <c r="A282" s="19" t="s">
        <v>415</v>
      </c>
      <c r="D282" s="19" t="str">
        <f t="shared" si="16"/>
        <v/>
      </c>
      <c r="E282" s="20" t="str">
        <f t="shared" si="14"/>
        <v/>
      </c>
      <c r="F282" s="21" t="str">
        <f t="shared" si="15"/>
        <v/>
      </c>
    </row>
    <row r="283" spans="1:6" x14ac:dyDescent="0.25">
      <c r="A283" s="19" t="s">
        <v>417</v>
      </c>
      <c r="D283" s="19" t="str">
        <f t="shared" si="16"/>
        <v/>
      </c>
      <c r="E283" s="20" t="str">
        <f t="shared" si="14"/>
        <v/>
      </c>
      <c r="F283" s="21" t="str">
        <f t="shared" si="15"/>
        <v/>
      </c>
    </row>
    <row r="284" spans="1:6" x14ac:dyDescent="0.25">
      <c r="A284" s="19" t="s">
        <v>419</v>
      </c>
      <c r="D284" s="19" t="str">
        <f t="shared" si="16"/>
        <v/>
      </c>
      <c r="E284" s="20" t="str">
        <f t="shared" si="14"/>
        <v/>
      </c>
      <c r="F284" s="21" t="str">
        <f t="shared" si="15"/>
        <v/>
      </c>
    </row>
    <row r="285" spans="1:6" x14ac:dyDescent="0.25">
      <c r="A285" s="19" t="s">
        <v>420</v>
      </c>
      <c r="D285" s="19" t="str">
        <f t="shared" si="16"/>
        <v/>
      </c>
      <c r="E285" s="20" t="str">
        <f t="shared" si="14"/>
        <v/>
      </c>
      <c r="F285" s="21" t="str">
        <f t="shared" si="15"/>
        <v/>
      </c>
    </row>
    <row r="286" spans="1:6" x14ac:dyDescent="0.25">
      <c r="A286" s="19" t="s">
        <v>421</v>
      </c>
      <c r="D286" s="19" t="str">
        <f t="shared" si="16"/>
        <v/>
      </c>
      <c r="E286" s="20" t="str">
        <f t="shared" si="14"/>
        <v/>
      </c>
      <c r="F286" s="21" t="str">
        <f t="shared" si="15"/>
        <v/>
      </c>
    </row>
    <row r="287" spans="1:6" x14ac:dyDescent="0.25">
      <c r="A287" s="19" t="s">
        <v>422</v>
      </c>
      <c r="D287" s="19" t="str">
        <f t="shared" si="16"/>
        <v/>
      </c>
      <c r="E287" s="20" t="str">
        <f t="shared" si="14"/>
        <v/>
      </c>
      <c r="F287" s="21" t="str">
        <f t="shared" si="15"/>
        <v/>
      </c>
    </row>
    <row r="288" spans="1:6" x14ac:dyDescent="0.25">
      <c r="A288" s="19" t="s">
        <v>423</v>
      </c>
      <c r="D288" s="19" t="str">
        <f t="shared" si="16"/>
        <v/>
      </c>
      <c r="E288" s="20" t="str">
        <f t="shared" si="14"/>
        <v/>
      </c>
      <c r="F288" s="21" t="str">
        <f t="shared" si="15"/>
        <v/>
      </c>
    </row>
    <row r="289" spans="1:6" x14ac:dyDescent="0.25">
      <c r="A289" s="19" t="s">
        <v>424</v>
      </c>
      <c r="D289" s="19" t="str">
        <f t="shared" si="16"/>
        <v/>
      </c>
      <c r="E289" s="20" t="str">
        <f t="shared" si="14"/>
        <v/>
      </c>
      <c r="F289" s="21" t="str">
        <f t="shared" si="15"/>
        <v/>
      </c>
    </row>
    <row r="290" spans="1:6" x14ac:dyDescent="0.25">
      <c r="A290" s="19" t="s">
        <v>425</v>
      </c>
      <c r="D290" s="19" t="str">
        <f t="shared" si="16"/>
        <v/>
      </c>
      <c r="E290" s="20" t="str">
        <f t="shared" si="14"/>
        <v/>
      </c>
      <c r="F290" s="21" t="str">
        <f t="shared" si="15"/>
        <v/>
      </c>
    </row>
    <row r="291" spans="1:6" x14ac:dyDescent="0.25">
      <c r="A291" s="19" t="s">
        <v>426</v>
      </c>
      <c r="D291" s="19" t="str">
        <f t="shared" si="16"/>
        <v/>
      </c>
      <c r="E291" s="20" t="str">
        <f t="shared" si="14"/>
        <v/>
      </c>
      <c r="F291" s="21" t="str">
        <f t="shared" si="15"/>
        <v/>
      </c>
    </row>
    <row r="292" spans="1:6" x14ac:dyDescent="0.25">
      <c r="A292" s="19" t="s">
        <v>464</v>
      </c>
      <c r="D292" s="19" t="str">
        <f t="shared" si="16"/>
        <v/>
      </c>
      <c r="E292" s="20" t="str">
        <f t="shared" si="14"/>
        <v/>
      </c>
      <c r="F292" s="21" t="str">
        <f t="shared" si="15"/>
        <v/>
      </c>
    </row>
    <row r="293" spans="1:6" x14ac:dyDescent="0.25">
      <c r="A293" s="19" t="s">
        <v>466</v>
      </c>
      <c r="D293" s="19" t="str">
        <f t="shared" si="16"/>
        <v/>
      </c>
      <c r="E293" s="20" t="str">
        <f t="shared" si="14"/>
        <v/>
      </c>
      <c r="F293" s="21" t="str">
        <f t="shared" si="15"/>
        <v/>
      </c>
    </row>
    <row r="294" spans="1:6" x14ac:dyDescent="0.25">
      <c r="A294" s="19" t="s">
        <v>427</v>
      </c>
      <c r="D294" s="19" t="str">
        <f t="shared" si="16"/>
        <v/>
      </c>
      <c r="E294" s="20" t="str">
        <f t="shared" si="14"/>
        <v/>
      </c>
      <c r="F294" s="21" t="str">
        <f t="shared" si="15"/>
        <v/>
      </c>
    </row>
    <row r="295" spans="1:6" x14ac:dyDescent="0.25">
      <c r="A295" s="19" t="s">
        <v>428</v>
      </c>
      <c r="D295" s="19" t="str">
        <f t="shared" si="16"/>
        <v/>
      </c>
      <c r="E295" s="20" t="str">
        <f t="shared" si="14"/>
        <v/>
      </c>
      <c r="F295" s="21" t="str">
        <f t="shared" si="15"/>
        <v/>
      </c>
    </row>
    <row r="296" spans="1:6" x14ac:dyDescent="0.25">
      <c r="A296" s="19" t="s">
        <v>429</v>
      </c>
      <c r="D296" s="19" t="str">
        <f t="shared" si="16"/>
        <v/>
      </c>
      <c r="E296" s="20" t="str">
        <f t="shared" si="14"/>
        <v/>
      </c>
      <c r="F296" s="21" t="str">
        <f t="shared" si="15"/>
        <v/>
      </c>
    </row>
    <row r="297" spans="1:6" x14ac:dyDescent="0.25">
      <c r="A297" s="19" t="s">
        <v>430</v>
      </c>
      <c r="D297" s="19" t="str">
        <f t="shared" si="16"/>
        <v/>
      </c>
      <c r="E297" s="20" t="str">
        <f t="shared" si="14"/>
        <v/>
      </c>
      <c r="F297" s="21" t="str">
        <f t="shared" si="15"/>
        <v/>
      </c>
    </row>
    <row r="298" spans="1:6" x14ac:dyDescent="0.25">
      <c r="A298" s="19" t="s">
        <v>431</v>
      </c>
      <c r="D298" s="19" t="str">
        <f t="shared" si="16"/>
        <v/>
      </c>
      <c r="E298" s="20" t="str">
        <f t="shared" si="14"/>
        <v/>
      </c>
      <c r="F298" s="21" t="str">
        <f t="shared" si="15"/>
        <v/>
      </c>
    </row>
    <row r="299" spans="1:6" x14ac:dyDescent="0.25">
      <c r="A299" s="19" t="s">
        <v>432</v>
      </c>
      <c r="D299" s="19" t="str">
        <f t="shared" si="16"/>
        <v/>
      </c>
      <c r="E299" s="20" t="str">
        <f t="shared" si="14"/>
        <v/>
      </c>
      <c r="F299" s="21" t="str">
        <f t="shared" si="15"/>
        <v/>
      </c>
    </row>
    <row r="300" spans="1:6" x14ac:dyDescent="0.25">
      <c r="A300" s="19" t="s">
        <v>433</v>
      </c>
      <c r="D300" s="19" t="str">
        <f t="shared" si="16"/>
        <v/>
      </c>
      <c r="E300" s="20" t="str">
        <f t="shared" si="14"/>
        <v/>
      </c>
      <c r="F300" s="21" t="str">
        <f t="shared" si="15"/>
        <v/>
      </c>
    </row>
    <row r="301" spans="1:6" x14ac:dyDescent="0.25">
      <c r="A301" s="19" t="s">
        <v>434</v>
      </c>
      <c r="D301" s="19" t="str">
        <f t="shared" si="16"/>
        <v/>
      </c>
      <c r="E301" s="20" t="str">
        <f t="shared" si="14"/>
        <v/>
      </c>
      <c r="F301" s="21" t="str">
        <f t="shared" si="15"/>
        <v/>
      </c>
    </row>
    <row r="302" spans="1:6" x14ac:dyDescent="0.25">
      <c r="A302" s="19" t="s">
        <v>435</v>
      </c>
      <c r="D302" s="19" t="str">
        <f t="shared" si="16"/>
        <v/>
      </c>
      <c r="E302" s="20" t="str">
        <f t="shared" si="14"/>
        <v/>
      </c>
      <c r="F302" s="21" t="str">
        <f t="shared" si="15"/>
        <v/>
      </c>
    </row>
    <row r="303" spans="1:6" x14ac:dyDescent="0.25">
      <c r="A303" s="19" t="s">
        <v>477</v>
      </c>
      <c r="D303" s="19" t="str">
        <f t="shared" si="16"/>
        <v/>
      </c>
      <c r="E303" s="20" t="str">
        <f t="shared" si="14"/>
        <v/>
      </c>
      <c r="F303" s="21" t="str">
        <f t="shared" si="15"/>
        <v/>
      </c>
    </row>
    <row r="304" spans="1:6" x14ac:dyDescent="0.25">
      <c r="A304" s="19" t="s">
        <v>436</v>
      </c>
      <c r="D304" s="19" t="str">
        <f t="shared" si="16"/>
        <v/>
      </c>
      <c r="E304" s="20" t="str">
        <f t="shared" si="14"/>
        <v/>
      </c>
      <c r="F304" s="21" t="str">
        <f t="shared" si="15"/>
        <v/>
      </c>
    </row>
    <row r="305" spans="1:6" x14ac:dyDescent="0.25">
      <c r="A305" s="19" t="s">
        <v>437</v>
      </c>
      <c r="D305" s="19" t="str">
        <f t="shared" si="16"/>
        <v/>
      </c>
      <c r="E305" s="20" t="str">
        <f t="shared" si="14"/>
        <v/>
      </c>
      <c r="F305" s="21" t="str">
        <f t="shared" si="15"/>
        <v/>
      </c>
    </row>
    <row r="306" spans="1:6" x14ac:dyDescent="0.25">
      <c r="A306" s="19" t="s">
        <v>438</v>
      </c>
      <c r="D306" s="19" t="str">
        <f t="shared" si="16"/>
        <v/>
      </c>
      <c r="E306" s="20" t="str">
        <f t="shared" si="14"/>
        <v/>
      </c>
      <c r="F306" s="21" t="str">
        <f t="shared" si="15"/>
        <v/>
      </c>
    </row>
    <row r="307" spans="1:6" x14ac:dyDescent="0.25">
      <c r="A307" s="19" t="s">
        <v>439</v>
      </c>
      <c r="D307" s="19" t="str">
        <f t="shared" si="16"/>
        <v/>
      </c>
      <c r="E307" s="20" t="str">
        <f t="shared" si="14"/>
        <v/>
      </c>
      <c r="F307" s="21" t="str">
        <f t="shared" si="15"/>
        <v/>
      </c>
    </row>
    <row r="308" spans="1:6" x14ac:dyDescent="0.25">
      <c r="A308" s="19" t="s">
        <v>440</v>
      </c>
      <c r="D308" s="19" t="str">
        <f t="shared" si="16"/>
        <v/>
      </c>
      <c r="E308" s="20" t="str">
        <f t="shared" si="14"/>
        <v/>
      </c>
      <c r="F308" s="21" t="str">
        <f t="shared" si="15"/>
        <v/>
      </c>
    </row>
    <row r="309" spans="1:6" x14ac:dyDescent="0.25">
      <c r="A309" s="19" t="s">
        <v>441</v>
      </c>
      <c r="D309" s="19" t="str">
        <f t="shared" si="16"/>
        <v/>
      </c>
      <c r="E309" s="20" t="str">
        <f t="shared" si="14"/>
        <v/>
      </c>
      <c r="F309" s="21" t="str">
        <f t="shared" si="15"/>
        <v/>
      </c>
    </row>
    <row r="310" spans="1:6" x14ac:dyDescent="0.25">
      <c r="A310" s="19" t="s">
        <v>442</v>
      </c>
      <c r="D310" s="19" t="str">
        <f t="shared" si="16"/>
        <v/>
      </c>
      <c r="E310" s="20" t="str">
        <f t="shared" si="14"/>
        <v/>
      </c>
      <c r="F310" s="21" t="str">
        <f t="shared" si="15"/>
        <v/>
      </c>
    </row>
    <row r="311" spans="1:6" x14ac:dyDescent="0.25">
      <c r="A311" s="19" t="s">
        <v>443</v>
      </c>
      <c r="D311" s="19" t="str">
        <f t="shared" si="16"/>
        <v/>
      </c>
      <c r="E311" s="20" t="str">
        <f t="shared" si="14"/>
        <v/>
      </c>
      <c r="F311" s="21" t="str">
        <f t="shared" si="15"/>
        <v/>
      </c>
    </row>
    <row r="312" spans="1:6" x14ac:dyDescent="0.25">
      <c r="A312" s="19" t="s">
        <v>444</v>
      </c>
      <c r="D312" s="19" t="str">
        <f t="shared" si="16"/>
        <v/>
      </c>
      <c r="E312" s="20" t="str">
        <f t="shared" si="14"/>
        <v/>
      </c>
      <c r="F312" s="21" t="str">
        <f t="shared" si="15"/>
        <v/>
      </c>
    </row>
    <row r="313" spans="1:6" x14ac:dyDescent="0.25">
      <c r="A313" s="19" t="s">
        <v>445</v>
      </c>
      <c r="D313" s="19" t="str">
        <f t="shared" si="16"/>
        <v/>
      </c>
      <c r="E313" s="20" t="str">
        <f t="shared" si="14"/>
        <v/>
      </c>
      <c r="F313" s="21" t="str">
        <f t="shared" si="15"/>
        <v/>
      </c>
    </row>
    <row r="314" spans="1:6" x14ac:dyDescent="0.25">
      <c r="A314" s="19" t="s">
        <v>489</v>
      </c>
      <c r="D314" s="19" t="str">
        <f t="shared" si="16"/>
        <v/>
      </c>
      <c r="E314" s="20" t="str">
        <f t="shared" si="14"/>
        <v/>
      </c>
      <c r="F314" s="21" t="str">
        <f t="shared" si="15"/>
        <v/>
      </c>
    </row>
    <row r="315" spans="1:6" x14ac:dyDescent="0.25">
      <c r="A315" s="19" t="s">
        <v>446</v>
      </c>
      <c r="D315" s="19" t="str">
        <f t="shared" si="16"/>
        <v/>
      </c>
      <c r="E315" s="20" t="str">
        <f t="shared" si="14"/>
        <v/>
      </c>
      <c r="F315" s="21" t="str">
        <f t="shared" si="15"/>
        <v/>
      </c>
    </row>
    <row r="316" spans="1:6" x14ac:dyDescent="0.25">
      <c r="A316" s="19" t="s">
        <v>447</v>
      </c>
      <c r="D316" s="19" t="str">
        <f t="shared" si="16"/>
        <v/>
      </c>
      <c r="E316" s="20" t="str">
        <f t="shared" si="14"/>
        <v/>
      </c>
      <c r="F316" s="21" t="str">
        <f t="shared" si="15"/>
        <v/>
      </c>
    </row>
    <row r="317" spans="1:6" x14ac:dyDescent="0.25">
      <c r="A317" s="19" t="s">
        <v>449</v>
      </c>
      <c r="D317" s="19" t="str">
        <f t="shared" si="16"/>
        <v/>
      </c>
      <c r="E317" s="20" t="str">
        <f t="shared" si="14"/>
        <v/>
      </c>
      <c r="F317" s="21" t="str">
        <f t="shared" si="15"/>
        <v/>
      </c>
    </row>
    <row r="318" spans="1:6" x14ac:dyDescent="0.25">
      <c r="A318" s="19" t="s">
        <v>494</v>
      </c>
      <c r="D318" s="19" t="str">
        <f t="shared" si="16"/>
        <v/>
      </c>
      <c r="E318" s="20" t="str">
        <f t="shared" si="14"/>
        <v/>
      </c>
      <c r="F318" s="21" t="str">
        <f t="shared" si="15"/>
        <v/>
      </c>
    </row>
    <row r="319" spans="1:6" x14ac:dyDescent="0.25">
      <c r="A319" s="19" t="s">
        <v>496</v>
      </c>
      <c r="D319" s="19" t="str">
        <f t="shared" si="16"/>
        <v/>
      </c>
      <c r="E319" s="20" t="str">
        <f t="shared" si="14"/>
        <v/>
      </c>
      <c r="F319" s="21" t="str">
        <f t="shared" si="15"/>
        <v/>
      </c>
    </row>
    <row r="320" spans="1:6" x14ac:dyDescent="0.25">
      <c r="A320" s="19" t="s">
        <v>498</v>
      </c>
      <c r="D320" s="19" t="str">
        <f t="shared" si="16"/>
        <v/>
      </c>
      <c r="E320" s="20" t="str">
        <f t="shared" si="14"/>
        <v/>
      </c>
      <c r="F320" s="21" t="str">
        <f t="shared" si="15"/>
        <v/>
      </c>
    </row>
    <row r="321" spans="1:6" x14ac:dyDescent="0.25">
      <c r="A321" s="19" t="s">
        <v>450</v>
      </c>
      <c r="D321" s="19" t="str">
        <f t="shared" si="16"/>
        <v/>
      </c>
      <c r="E321" s="20" t="str">
        <f t="shared" si="14"/>
        <v/>
      </c>
      <c r="F321" s="21" t="str">
        <f t="shared" si="15"/>
        <v/>
      </c>
    </row>
    <row r="322" spans="1:6" x14ac:dyDescent="0.25">
      <c r="A322" s="19" t="s">
        <v>451</v>
      </c>
      <c r="D322" s="19" t="str">
        <f t="shared" si="16"/>
        <v/>
      </c>
      <c r="E322" s="20" t="str">
        <f t="shared" si="14"/>
        <v/>
      </c>
      <c r="F322" s="21" t="str">
        <f t="shared" si="15"/>
        <v/>
      </c>
    </row>
    <row r="323" spans="1:6" x14ac:dyDescent="0.25">
      <c r="A323" s="19" t="s">
        <v>452</v>
      </c>
      <c r="D323" s="19" t="str">
        <f t="shared" si="16"/>
        <v/>
      </c>
      <c r="E323" s="20" t="str">
        <f t="shared" ref="E323:E386" si="17">IF(D323&lt;&gt;"",INDEX($B$2:$C$387,D323,1),"")</f>
        <v/>
      </c>
      <c r="F323" s="21" t="str">
        <f t="shared" ref="F323:F386" si="18">IF(D323&lt;&gt;"",INDEX($B$2:$C$566,D323,2),"")</f>
        <v/>
      </c>
    </row>
    <row r="324" spans="1:6" x14ac:dyDescent="0.25">
      <c r="A324" s="19" t="s">
        <v>503</v>
      </c>
      <c r="D324" s="19" t="str">
        <f t="shared" ref="D324:D388" si="19">IFERROR(MATCH(A324,$B$2:$B$579,),"")</f>
        <v/>
      </c>
      <c r="E324" s="20" t="str">
        <f t="shared" si="17"/>
        <v/>
      </c>
      <c r="F324" s="21" t="str">
        <f t="shared" si="18"/>
        <v/>
      </c>
    </row>
    <row r="325" spans="1:6" x14ac:dyDescent="0.25">
      <c r="A325" s="19" t="s">
        <v>505</v>
      </c>
      <c r="D325" s="19" t="str">
        <f t="shared" si="19"/>
        <v/>
      </c>
      <c r="E325" s="20" t="str">
        <f t="shared" si="17"/>
        <v/>
      </c>
      <c r="F325" s="21" t="str">
        <f t="shared" si="18"/>
        <v/>
      </c>
    </row>
    <row r="326" spans="1:6" x14ac:dyDescent="0.25">
      <c r="A326" s="19" t="s">
        <v>507</v>
      </c>
      <c r="D326" s="19" t="str">
        <f t="shared" si="19"/>
        <v/>
      </c>
      <c r="E326" s="20" t="str">
        <f t="shared" si="17"/>
        <v/>
      </c>
      <c r="F326" s="21" t="str">
        <f t="shared" si="18"/>
        <v/>
      </c>
    </row>
    <row r="327" spans="1:6" x14ac:dyDescent="0.25">
      <c r="A327" s="19" t="s">
        <v>453</v>
      </c>
      <c r="D327" s="19" t="str">
        <f t="shared" si="19"/>
        <v/>
      </c>
      <c r="E327" s="20" t="str">
        <f t="shared" si="17"/>
        <v/>
      </c>
      <c r="F327" s="21" t="str">
        <f t="shared" si="18"/>
        <v/>
      </c>
    </row>
    <row r="328" spans="1:6" x14ac:dyDescent="0.25">
      <c r="A328" s="19" t="s">
        <v>454</v>
      </c>
      <c r="D328" s="19" t="str">
        <f t="shared" si="19"/>
        <v/>
      </c>
      <c r="E328" s="20" t="str">
        <f t="shared" si="17"/>
        <v/>
      </c>
      <c r="F328" s="21" t="str">
        <f t="shared" si="18"/>
        <v/>
      </c>
    </row>
    <row r="329" spans="1:6" x14ac:dyDescent="0.25">
      <c r="A329" s="19" t="s">
        <v>455</v>
      </c>
      <c r="D329" s="19" t="str">
        <f t="shared" si="19"/>
        <v/>
      </c>
      <c r="E329" s="20" t="str">
        <f t="shared" si="17"/>
        <v/>
      </c>
      <c r="F329" s="21" t="str">
        <f t="shared" si="18"/>
        <v/>
      </c>
    </row>
    <row r="330" spans="1:6" x14ac:dyDescent="0.25">
      <c r="A330" s="19" t="s">
        <v>456</v>
      </c>
      <c r="D330" s="19" t="str">
        <f t="shared" si="19"/>
        <v/>
      </c>
      <c r="E330" s="20" t="str">
        <f t="shared" si="17"/>
        <v/>
      </c>
      <c r="F330" s="21" t="str">
        <f t="shared" si="18"/>
        <v/>
      </c>
    </row>
    <row r="331" spans="1:6" x14ac:dyDescent="0.25">
      <c r="A331" s="19" t="s">
        <v>457</v>
      </c>
      <c r="D331" s="19" t="str">
        <f t="shared" si="19"/>
        <v/>
      </c>
      <c r="E331" s="20" t="str">
        <f t="shared" si="17"/>
        <v/>
      </c>
      <c r="F331" s="21" t="str">
        <f t="shared" si="18"/>
        <v/>
      </c>
    </row>
    <row r="332" spans="1:6" x14ac:dyDescent="0.25">
      <c r="A332" s="19" t="s">
        <v>458</v>
      </c>
      <c r="D332" s="19" t="str">
        <f t="shared" si="19"/>
        <v/>
      </c>
      <c r="E332" s="20" t="str">
        <f t="shared" si="17"/>
        <v/>
      </c>
      <c r="F332" s="21" t="str">
        <f t="shared" si="18"/>
        <v/>
      </c>
    </row>
    <row r="333" spans="1:6" x14ac:dyDescent="0.25">
      <c r="A333" s="19" t="s">
        <v>459</v>
      </c>
      <c r="D333" s="19" t="str">
        <f t="shared" si="19"/>
        <v/>
      </c>
      <c r="E333" s="20" t="str">
        <f t="shared" si="17"/>
        <v/>
      </c>
      <c r="F333" s="21" t="str">
        <f t="shared" si="18"/>
        <v/>
      </c>
    </row>
    <row r="334" spans="1:6" x14ac:dyDescent="0.25">
      <c r="A334" s="19" t="s">
        <v>460</v>
      </c>
      <c r="D334" s="19" t="str">
        <f t="shared" si="19"/>
        <v/>
      </c>
      <c r="E334" s="20" t="str">
        <f t="shared" si="17"/>
        <v/>
      </c>
      <c r="F334" s="21" t="str">
        <f t="shared" si="18"/>
        <v/>
      </c>
    </row>
    <row r="335" spans="1:6" x14ac:dyDescent="0.25">
      <c r="A335" s="19" t="s">
        <v>517</v>
      </c>
      <c r="D335" s="19" t="str">
        <f t="shared" si="19"/>
        <v/>
      </c>
      <c r="E335" s="20" t="str">
        <f t="shared" si="17"/>
        <v/>
      </c>
      <c r="F335" s="21" t="str">
        <f t="shared" si="18"/>
        <v/>
      </c>
    </row>
    <row r="336" spans="1:6" x14ac:dyDescent="0.25">
      <c r="A336" s="19" t="s">
        <v>519</v>
      </c>
      <c r="D336" s="19" t="str">
        <f t="shared" si="19"/>
        <v/>
      </c>
      <c r="E336" s="20" t="str">
        <f t="shared" si="17"/>
        <v/>
      </c>
      <c r="F336" s="21" t="str">
        <f t="shared" si="18"/>
        <v/>
      </c>
    </row>
    <row r="337" spans="1:6" x14ac:dyDescent="0.25">
      <c r="A337" s="19" t="s">
        <v>461</v>
      </c>
      <c r="D337" s="19" t="str">
        <f t="shared" si="19"/>
        <v/>
      </c>
      <c r="E337" s="20" t="str">
        <f t="shared" si="17"/>
        <v/>
      </c>
      <c r="F337" s="21" t="str">
        <f t="shared" si="18"/>
        <v/>
      </c>
    </row>
    <row r="338" spans="1:6" x14ac:dyDescent="0.25">
      <c r="A338" s="19" t="s">
        <v>522</v>
      </c>
      <c r="D338" s="19" t="str">
        <f t="shared" si="19"/>
        <v/>
      </c>
      <c r="E338" s="20" t="str">
        <f t="shared" si="17"/>
        <v/>
      </c>
      <c r="F338" s="21" t="str">
        <f t="shared" si="18"/>
        <v/>
      </c>
    </row>
    <row r="339" spans="1:6" x14ac:dyDescent="0.25">
      <c r="A339" s="19" t="s">
        <v>462</v>
      </c>
      <c r="D339" s="19" t="str">
        <f t="shared" si="19"/>
        <v/>
      </c>
      <c r="E339" s="20" t="str">
        <f t="shared" si="17"/>
        <v/>
      </c>
      <c r="F339" s="21" t="str">
        <f t="shared" si="18"/>
        <v/>
      </c>
    </row>
    <row r="340" spans="1:6" x14ac:dyDescent="0.25">
      <c r="A340" s="19" t="s">
        <v>463</v>
      </c>
      <c r="D340" s="19" t="str">
        <f t="shared" si="19"/>
        <v/>
      </c>
      <c r="E340" s="20" t="str">
        <f t="shared" si="17"/>
        <v/>
      </c>
      <c r="F340" s="21" t="str">
        <f t="shared" si="18"/>
        <v/>
      </c>
    </row>
    <row r="341" spans="1:6" x14ac:dyDescent="0.25">
      <c r="A341" s="19" t="s">
        <v>465</v>
      </c>
      <c r="D341" s="19" t="str">
        <f t="shared" si="19"/>
        <v/>
      </c>
      <c r="E341" s="20" t="str">
        <f t="shared" si="17"/>
        <v/>
      </c>
      <c r="F341" s="21" t="str">
        <f t="shared" si="18"/>
        <v/>
      </c>
    </row>
    <row r="342" spans="1:6" x14ac:dyDescent="0.25">
      <c r="A342" s="19" t="s">
        <v>467</v>
      </c>
      <c r="D342" s="19" t="str">
        <f t="shared" si="19"/>
        <v/>
      </c>
      <c r="E342" s="20" t="str">
        <f t="shared" si="17"/>
        <v/>
      </c>
      <c r="F342" s="21" t="str">
        <f t="shared" si="18"/>
        <v/>
      </c>
    </row>
    <row r="343" spans="1:6" x14ac:dyDescent="0.25">
      <c r="A343" s="19" t="s">
        <v>468</v>
      </c>
      <c r="D343" s="19" t="str">
        <f t="shared" si="19"/>
        <v/>
      </c>
      <c r="E343" s="20" t="str">
        <f t="shared" si="17"/>
        <v/>
      </c>
      <c r="F343" s="21" t="str">
        <f t="shared" si="18"/>
        <v/>
      </c>
    </row>
    <row r="344" spans="1:6" x14ac:dyDescent="0.25">
      <c r="A344" s="19" t="s">
        <v>529</v>
      </c>
      <c r="D344" s="19" t="str">
        <f t="shared" si="19"/>
        <v/>
      </c>
      <c r="E344" s="20" t="str">
        <f t="shared" si="17"/>
        <v/>
      </c>
      <c r="F344" s="21" t="str">
        <f t="shared" si="18"/>
        <v/>
      </c>
    </row>
    <row r="345" spans="1:6" x14ac:dyDescent="0.25">
      <c r="A345" s="19" t="s">
        <v>469</v>
      </c>
      <c r="D345" s="19" t="str">
        <f t="shared" si="19"/>
        <v/>
      </c>
      <c r="E345" s="20" t="str">
        <f t="shared" si="17"/>
        <v/>
      </c>
      <c r="F345" s="21" t="str">
        <f t="shared" si="18"/>
        <v/>
      </c>
    </row>
    <row r="346" spans="1:6" x14ac:dyDescent="0.25">
      <c r="A346" s="19" t="s">
        <v>470</v>
      </c>
      <c r="D346" s="19" t="str">
        <f t="shared" si="19"/>
        <v/>
      </c>
      <c r="E346" s="20" t="str">
        <f t="shared" si="17"/>
        <v/>
      </c>
      <c r="F346" s="21" t="str">
        <f t="shared" si="18"/>
        <v/>
      </c>
    </row>
    <row r="347" spans="1:6" x14ac:dyDescent="0.25">
      <c r="A347" s="19" t="s">
        <v>471</v>
      </c>
      <c r="D347" s="19" t="str">
        <f t="shared" si="19"/>
        <v/>
      </c>
      <c r="E347" s="20" t="str">
        <f t="shared" si="17"/>
        <v/>
      </c>
      <c r="F347" s="21" t="str">
        <f t="shared" si="18"/>
        <v/>
      </c>
    </row>
    <row r="348" spans="1:6" x14ac:dyDescent="0.25">
      <c r="A348" s="19" t="s">
        <v>472</v>
      </c>
      <c r="D348" s="19" t="str">
        <f t="shared" si="19"/>
        <v/>
      </c>
      <c r="E348" s="20" t="str">
        <f t="shared" si="17"/>
        <v/>
      </c>
      <c r="F348" s="21" t="str">
        <f t="shared" si="18"/>
        <v/>
      </c>
    </row>
    <row r="349" spans="1:6" x14ac:dyDescent="0.25">
      <c r="A349" s="19" t="s">
        <v>473</v>
      </c>
      <c r="D349" s="19" t="str">
        <f t="shared" si="19"/>
        <v/>
      </c>
      <c r="E349" s="20" t="str">
        <f t="shared" si="17"/>
        <v/>
      </c>
      <c r="F349" s="21" t="str">
        <f t="shared" si="18"/>
        <v/>
      </c>
    </row>
    <row r="350" spans="1:6" x14ac:dyDescent="0.25">
      <c r="A350" s="19" t="s">
        <v>474</v>
      </c>
      <c r="D350" s="19" t="str">
        <f t="shared" si="19"/>
        <v/>
      </c>
      <c r="E350" s="20" t="str">
        <f t="shared" si="17"/>
        <v/>
      </c>
      <c r="F350" s="21" t="str">
        <f t="shared" si="18"/>
        <v/>
      </c>
    </row>
    <row r="351" spans="1:6" x14ac:dyDescent="0.25">
      <c r="A351" s="19" t="s">
        <v>475</v>
      </c>
      <c r="D351" s="19" t="str">
        <f t="shared" si="19"/>
        <v/>
      </c>
      <c r="E351" s="20" t="str">
        <f t="shared" si="17"/>
        <v/>
      </c>
      <c r="F351" s="21" t="str">
        <f t="shared" si="18"/>
        <v/>
      </c>
    </row>
    <row r="352" spans="1:6" x14ac:dyDescent="0.25">
      <c r="A352" s="19" t="s">
        <v>538</v>
      </c>
      <c r="D352" s="19" t="str">
        <f t="shared" si="19"/>
        <v/>
      </c>
      <c r="E352" s="20" t="str">
        <f t="shared" si="17"/>
        <v/>
      </c>
      <c r="F352" s="21" t="str">
        <f t="shared" si="18"/>
        <v/>
      </c>
    </row>
    <row r="353" spans="1:6" x14ac:dyDescent="0.25">
      <c r="A353" s="19" t="s">
        <v>540</v>
      </c>
      <c r="D353" s="19" t="str">
        <f t="shared" si="19"/>
        <v/>
      </c>
      <c r="E353" s="20" t="str">
        <f t="shared" si="17"/>
        <v/>
      </c>
      <c r="F353" s="21" t="str">
        <f t="shared" si="18"/>
        <v/>
      </c>
    </row>
    <row r="354" spans="1:6" x14ac:dyDescent="0.25">
      <c r="A354" s="19" t="s">
        <v>542</v>
      </c>
      <c r="D354" s="19" t="str">
        <f t="shared" si="19"/>
        <v/>
      </c>
      <c r="E354" s="20" t="str">
        <f t="shared" si="17"/>
        <v/>
      </c>
      <c r="F354" s="21" t="str">
        <f t="shared" si="18"/>
        <v/>
      </c>
    </row>
    <row r="355" spans="1:6" x14ac:dyDescent="0.25">
      <c r="A355" s="19" t="s">
        <v>544</v>
      </c>
      <c r="D355" s="19" t="str">
        <f t="shared" si="19"/>
        <v/>
      </c>
      <c r="E355" s="20" t="str">
        <f t="shared" si="17"/>
        <v/>
      </c>
      <c r="F355" s="21" t="str">
        <f t="shared" si="18"/>
        <v/>
      </c>
    </row>
    <row r="356" spans="1:6" x14ac:dyDescent="0.25">
      <c r="A356" s="19" t="s">
        <v>476</v>
      </c>
      <c r="D356" s="19" t="str">
        <f t="shared" si="19"/>
        <v/>
      </c>
      <c r="E356" s="20" t="str">
        <f t="shared" si="17"/>
        <v/>
      </c>
      <c r="F356" s="21" t="str">
        <f t="shared" si="18"/>
        <v/>
      </c>
    </row>
    <row r="357" spans="1:6" x14ac:dyDescent="0.25">
      <c r="A357" s="19" t="s">
        <v>547</v>
      </c>
      <c r="D357" s="19" t="str">
        <f t="shared" si="19"/>
        <v/>
      </c>
      <c r="E357" s="20" t="str">
        <f t="shared" si="17"/>
        <v/>
      </c>
      <c r="F357" s="21" t="str">
        <f t="shared" si="18"/>
        <v/>
      </c>
    </row>
    <row r="358" spans="1:6" x14ac:dyDescent="0.25">
      <c r="A358" s="19" t="s">
        <v>478</v>
      </c>
      <c r="D358" s="19" t="str">
        <f t="shared" si="19"/>
        <v/>
      </c>
      <c r="E358" s="20" t="str">
        <f t="shared" si="17"/>
        <v/>
      </c>
      <c r="F358" s="21" t="str">
        <f t="shared" si="18"/>
        <v/>
      </c>
    </row>
    <row r="359" spans="1:6" x14ac:dyDescent="0.25">
      <c r="A359" s="19" t="s">
        <v>479</v>
      </c>
      <c r="D359" s="19" t="str">
        <f t="shared" si="19"/>
        <v/>
      </c>
      <c r="E359" s="20" t="str">
        <f t="shared" si="17"/>
        <v/>
      </c>
      <c r="F359" s="21" t="str">
        <f t="shared" si="18"/>
        <v/>
      </c>
    </row>
    <row r="360" spans="1:6" x14ac:dyDescent="0.25">
      <c r="A360" s="19" t="s">
        <v>480</v>
      </c>
      <c r="D360" s="19" t="str">
        <f t="shared" si="19"/>
        <v/>
      </c>
      <c r="E360" s="20" t="str">
        <f t="shared" si="17"/>
        <v/>
      </c>
      <c r="F360" s="21" t="str">
        <f t="shared" si="18"/>
        <v/>
      </c>
    </row>
    <row r="361" spans="1:6" x14ac:dyDescent="0.25">
      <c r="A361" s="19" t="s">
        <v>552</v>
      </c>
      <c r="D361" s="19" t="str">
        <f t="shared" si="19"/>
        <v/>
      </c>
      <c r="E361" s="20" t="str">
        <f t="shared" si="17"/>
        <v/>
      </c>
      <c r="F361" s="21" t="str">
        <f t="shared" si="18"/>
        <v/>
      </c>
    </row>
    <row r="362" spans="1:6" x14ac:dyDescent="0.25">
      <c r="A362" s="19" t="s">
        <v>554</v>
      </c>
      <c r="D362" s="19" t="str">
        <f t="shared" si="19"/>
        <v/>
      </c>
      <c r="E362" s="20" t="str">
        <f t="shared" si="17"/>
        <v/>
      </c>
      <c r="F362" s="21" t="str">
        <f t="shared" si="18"/>
        <v/>
      </c>
    </row>
    <row r="363" spans="1:6" x14ac:dyDescent="0.25">
      <c r="A363" s="19" t="s">
        <v>481</v>
      </c>
      <c r="D363" s="19" t="str">
        <f t="shared" si="19"/>
        <v/>
      </c>
      <c r="E363" s="20" t="str">
        <f t="shared" si="17"/>
        <v/>
      </c>
      <c r="F363" s="21" t="str">
        <f t="shared" si="18"/>
        <v/>
      </c>
    </row>
    <row r="364" spans="1:6" x14ac:dyDescent="0.25">
      <c r="A364" s="19" t="s">
        <v>482</v>
      </c>
      <c r="D364" s="19" t="str">
        <f t="shared" si="19"/>
        <v/>
      </c>
      <c r="E364" s="20" t="str">
        <f t="shared" si="17"/>
        <v/>
      </c>
      <c r="F364" s="21" t="str">
        <f t="shared" si="18"/>
        <v/>
      </c>
    </row>
    <row r="365" spans="1:6" x14ac:dyDescent="0.25">
      <c r="A365" s="19" t="s">
        <v>483</v>
      </c>
      <c r="D365" s="19" t="str">
        <f t="shared" si="19"/>
        <v/>
      </c>
      <c r="E365" s="20" t="str">
        <f t="shared" si="17"/>
        <v/>
      </c>
      <c r="F365" s="21" t="str">
        <f t="shared" si="18"/>
        <v/>
      </c>
    </row>
    <row r="366" spans="1:6" x14ac:dyDescent="0.25">
      <c r="A366" s="19" t="s">
        <v>484</v>
      </c>
      <c r="D366" s="19" t="str">
        <f t="shared" si="19"/>
        <v/>
      </c>
      <c r="E366" s="20" t="str">
        <f t="shared" si="17"/>
        <v/>
      </c>
      <c r="F366" s="21" t="str">
        <f t="shared" si="18"/>
        <v/>
      </c>
    </row>
    <row r="367" spans="1:6" x14ac:dyDescent="0.25">
      <c r="A367" s="19" t="s">
        <v>485</v>
      </c>
      <c r="D367" s="19" t="str">
        <f t="shared" si="19"/>
        <v/>
      </c>
      <c r="E367" s="20" t="str">
        <f t="shared" si="17"/>
        <v/>
      </c>
      <c r="F367" s="21" t="str">
        <f t="shared" si="18"/>
        <v/>
      </c>
    </row>
    <row r="368" spans="1:6" x14ac:dyDescent="0.25">
      <c r="A368" s="19" t="s">
        <v>486</v>
      </c>
      <c r="D368" s="19" t="str">
        <f t="shared" si="19"/>
        <v/>
      </c>
      <c r="E368" s="20" t="str">
        <f t="shared" si="17"/>
        <v/>
      </c>
      <c r="F368" s="21" t="str">
        <f t="shared" si="18"/>
        <v/>
      </c>
    </row>
    <row r="369" spans="1:6" x14ac:dyDescent="0.25">
      <c r="A369" s="19" t="s">
        <v>487</v>
      </c>
      <c r="D369" s="19" t="str">
        <f t="shared" si="19"/>
        <v/>
      </c>
      <c r="E369" s="20" t="str">
        <f t="shared" si="17"/>
        <v/>
      </c>
      <c r="F369" s="21" t="str">
        <f t="shared" si="18"/>
        <v/>
      </c>
    </row>
    <row r="370" spans="1:6" x14ac:dyDescent="0.25">
      <c r="A370" s="19" t="s">
        <v>563</v>
      </c>
      <c r="D370" s="19" t="str">
        <f t="shared" si="19"/>
        <v/>
      </c>
      <c r="E370" s="20" t="str">
        <f t="shared" si="17"/>
        <v/>
      </c>
      <c r="F370" s="21" t="str">
        <f t="shared" si="18"/>
        <v/>
      </c>
    </row>
    <row r="371" spans="1:6" x14ac:dyDescent="0.25">
      <c r="A371" s="19" t="s">
        <v>488</v>
      </c>
      <c r="D371" s="19" t="str">
        <f t="shared" si="19"/>
        <v/>
      </c>
      <c r="E371" s="20" t="str">
        <f t="shared" si="17"/>
        <v/>
      </c>
      <c r="F371" s="21" t="str">
        <f t="shared" si="18"/>
        <v/>
      </c>
    </row>
    <row r="372" spans="1:6" x14ac:dyDescent="0.25">
      <c r="A372" s="19" t="s">
        <v>490</v>
      </c>
      <c r="D372" s="19" t="str">
        <f t="shared" si="19"/>
        <v/>
      </c>
      <c r="E372" s="20" t="str">
        <f t="shared" si="17"/>
        <v/>
      </c>
      <c r="F372" s="21" t="str">
        <f t="shared" si="18"/>
        <v/>
      </c>
    </row>
    <row r="373" spans="1:6" x14ac:dyDescent="0.25">
      <c r="A373" s="19" t="s">
        <v>567</v>
      </c>
      <c r="D373" s="19" t="str">
        <f t="shared" si="19"/>
        <v/>
      </c>
      <c r="E373" s="20" t="str">
        <f t="shared" si="17"/>
        <v/>
      </c>
      <c r="F373" s="21" t="str">
        <f t="shared" si="18"/>
        <v/>
      </c>
    </row>
    <row r="374" spans="1:6" x14ac:dyDescent="0.25">
      <c r="A374" s="19" t="s">
        <v>491</v>
      </c>
      <c r="D374" s="19" t="str">
        <f t="shared" si="19"/>
        <v/>
      </c>
      <c r="E374" s="20" t="str">
        <f t="shared" si="17"/>
        <v/>
      </c>
      <c r="F374" s="21" t="str">
        <f t="shared" si="18"/>
        <v/>
      </c>
    </row>
    <row r="375" spans="1:6" x14ac:dyDescent="0.25">
      <c r="A375" s="19" t="s">
        <v>570</v>
      </c>
      <c r="D375" s="19" t="str">
        <f t="shared" si="19"/>
        <v/>
      </c>
      <c r="E375" s="20" t="str">
        <f t="shared" si="17"/>
        <v/>
      </c>
      <c r="F375" s="21" t="str">
        <f t="shared" si="18"/>
        <v/>
      </c>
    </row>
    <row r="376" spans="1:6" x14ac:dyDescent="0.25">
      <c r="A376" s="19" t="s">
        <v>492</v>
      </c>
      <c r="D376" s="19" t="str">
        <f t="shared" si="19"/>
        <v/>
      </c>
      <c r="E376" s="20" t="str">
        <f t="shared" si="17"/>
        <v/>
      </c>
      <c r="F376" s="21" t="str">
        <f t="shared" si="18"/>
        <v/>
      </c>
    </row>
    <row r="377" spans="1:6" x14ac:dyDescent="0.25">
      <c r="A377" s="19" t="s">
        <v>573</v>
      </c>
      <c r="D377" s="19" t="str">
        <f t="shared" si="19"/>
        <v/>
      </c>
      <c r="E377" s="20" t="str">
        <f t="shared" si="17"/>
        <v/>
      </c>
      <c r="F377" s="21" t="str">
        <f t="shared" si="18"/>
        <v/>
      </c>
    </row>
    <row r="378" spans="1:6" x14ac:dyDescent="0.25">
      <c r="A378" s="19" t="s">
        <v>575</v>
      </c>
      <c r="D378" s="19" t="str">
        <f t="shared" si="19"/>
        <v/>
      </c>
      <c r="E378" s="20" t="str">
        <f t="shared" si="17"/>
        <v/>
      </c>
      <c r="F378" s="21" t="str">
        <f t="shared" si="18"/>
        <v/>
      </c>
    </row>
    <row r="379" spans="1:6" x14ac:dyDescent="0.25">
      <c r="A379" s="19" t="s">
        <v>493</v>
      </c>
      <c r="D379" s="19" t="str">
        <f t="shared" si="19"/>
        <v/>
      </c>
      <c r="E379" s="20" t="str">
        <f t="shared" si="17"/>
        <v/>
      </c>
      <c r="F379" s="21" t="str">
        <f t="shared" si="18"/>
        <v/>
      </c>
    </row>
    <row r="380" spans="1:6" x14ac:dyDescent="0.25">
      <c r="A380" s="19" t="s">
        <v>495</v>
      </c>
      <c r="D380" s="19" t="str">
        <f t="shared" si="19"/>
        <v/>
      </c>
      <c r="E380" s="20" t="str">
        <f t="shared" si="17"/>
        <v/>
      </c>
      <c r="F380" s="21" t="str">
        <f t="shared" si="18"/>
        <v/>
      </c>
    </row>
    <row r="381" spans="1:6" x14ac:dyDescent="0.25">
      <c r="A381" s="19" t="s">
        <v>497</v>
      </c>
      <c r="D381" s="19" t="str">
        <f t="shared" si="19"/>
        <v/>
      </c>
      <c r="E381" s="20" t="str">
        <f t="shared" si="17"/>
        <v/>
      </c>
      <c r="F381" s="21" t="str">
        <f t="shared" si="18"/>
        <v/>
      </c>
    </row>
    <row r="382" spans="1:6" x14ac:dyDescent="0.25">
      <c r="A382" s="19" t="s">
        <v>499</v>
      </c>
      <c r="D382" s="19" t="str">
        <f t="shared" si="19"/>
        <v/>
      </c>
      <c r="E382" s="20" t="str">
        <f t="shared" si="17"/>
        <v/>
      </c>
      <c r="F382" s="21" t="str">
        <f t="shared" si="18"/>
        <v/>
      </c>
    </row>
    <row r="383" spans="1:6" x14ac:dyDescent="0.25">
      <c r="A383" s="19" t="s">
        <v>500</v>
      </c>
      <c r="D383" s="19" t="str">
        <f t="shared" si="19"/>
        <v/>
      </c>
      <c r="E383" s="20" t="str">
        <f t="shared" si="17"/>
        <v/>
      </c>
      <c r="F383" s="21" t="str">
        <f t="shared" si="18"/>
        <v/>
      </c>
    </row>
    <row r="384" spans="1:6" x14ac:dyDescent="0.25">
      <c r="A384" s="19" t="s">
        <v>582</v>
      </c>
      <c r="D384" s="19" t="str">
        <f t="shared" si="19"/>
        <v/>
      </c>
      <c r="E384" s="20" t="str">
        <f t="shared" si="17"/>
        <v/>
      </c>
      <c r="F384" s="21" t="str">
        <f t="shared" si="18"/>
        <v/>
      </c>
    </row>
    <row r="385" spans="1:6" x14ac:dyDescent="0.25">
      <c r="A385" s="19" t="s">
        <v>501</v>
      </c>
      <c r="D385" s="19" t="str">
        <f t="shared" si="19"/>
        <v/>
      </c>
      <c r="E385" s="20" t="str">
        <f t="shared" si="17"/>
        <v/>
      </c>
      <c r="F385" s="21" t="str">
        <f t="shared" si="18"/>
        <v/>
      </c>
    </row>
    <row r="386" spans="1:6" x14ac:dyDescent="0.25">
      <c r="A386" s="19" t="s">
        <v>502</v>
      </c>
      <c r="D386" s="19" t="str">
        <f t="shared" si="19"/>
        <v/>
      </c>
      <c r="E386" s="20" t="str">
        <f t="shared" si="17"/>
        <v/>
      </c>
      <c r="F386" s="21" t="str">
        <f t="shared" si="18"/>
        <v/>
      </c>
    </row>
    <row r="387" spans="1:6" x14ac:dyDescent="0.25">
      <c r="A387" s="19" t="s">
        <v>504</v>
      </c>
      <c r="D387" s="19" t="str">
        <f t="shared" si="19"/>
        <v/>
      </c>
      <c r="E387" s="20" t="str">
        <f t="shared" ref="E387:E450" si="20">IF(D387&lt;&gt;"",INDEX($B$2:$C$387,D387,1),"")</f>
        <v/>
      </c>
      <c r="F387" s="21" t="str">
        <f t="shared" ref="F387:F450" si="21">IF(D387&lt;&gt;"",INDEX($B$2:$C$566,D387,2),"")</f>
        <v/>
      </c>
    </row>
    <row r="388" spans="1:6" x14ac:dyDescent="0.25">
      <c r="A388" s="19" t="s">
        <v>587</v>
      </c>
      <c r="D388" s="19" t="str">
        <f t="shared" si="19"/>
        <v/>
      </c>
      <c r="E388" s="20" t="str">
        <f t="shared" si="20"/>
        <v/>
      </c>
      <c r="F388" s="21" t="str">
        <f t="shared" si="21"/>
        <v/>
      </c>
    </row>
    <row r="389" spans="1:6" x14ac:dyDescent="0.25">
      <c r="A389" s="19" t="s">
        <v>506</v>
      </c>
      <c r="D389" s="19" t="str">
        <f t="shared" ref="D389:D452" si="22">IFERROR(MATCH(A389,$B$2:$B$579,),"")</f>
        <v/>
      </c>
      <c r="E389" s="20" t="str">
        <f t="shared" si="20"/>
        <v/>
      </c>
      <c r="F389" s="21" t="str">
        <f t="shared" si="21"/>
        <v/>
      </c>
    </row>
    <row r="390" spans="1:6" x14ac:dyDescent="0.25">
      <c r="A390" s="19" t="s">
        <v>508</v>
      </c>
      <c r="D390" s="19" t="str">
        <f t="shared" si="22"/>
        <v/>
      </c>
      <c r="E390" s="20" t="str">
        <f t="shared" si="20"/>
        <v/>
      </c>
      <c r="F390" s="21" t="str">
        <f t="shared" si="21"/>
        <v/>
      </c>
    </row>
    <row r="391" spans="1:6" x14ac:dyDescent="0.25">
      <c r="A391" s="19" t="s">
        <v>509</v>
      </c>
      <c r="D391" s="19" t="str">
        <f t="shared" si="22"/>
        <v/>
      </c>
      <c r="E391" s="20" t="str">
        <f t="shared" si="20"/>
        <v/>
      </c>
      <c r="F391" s="21" t="str">
        <f t="shared" si="21"/>
        <v/>
      </c>
    </row>
    <row r="392" spans="1:6" x14ac:dyDescent="0.25">
      <c r="A392" s="19" t="s">
        <v>588</v>
      </c>
      <c r="D392" s="19" t="str">
        <f t="shared" si="22"/>
        <v/>
      </c>
      <c r="E392" s="20" t="str">
        <f t="shared" si="20"/>
        <v/>
      </c>
      <c r="F392" s="21" t="str">
        <f t="shared" si="21"/>
        <v/>
      </c>
    </row>
    <row r="393" spans="1:6" x14ac:dyDescent="0.25">
      <c r="A393" s="19" t="s">
        <v>589</v>
      </c>
      <c r="D393" s="19" t="str">
        <f t="shared" si="22"/>
        <v/>
      </c>
      <c r="E393" s="20" t="str">
        <f t="shared" si="20"/>
        <v/>
      </c>
      <c r="F393" s="21" t="str">
        <f t="shared" si="21"/>
        <v/>
      </c>
    </row>
    <row r="394" spans="1:6" x14ac:dyDescent="0.25">
      <c r="A394" s="19" t="s">
        <v>510</v>
      </c>
      <c r="D394" s="19" t="str">
        <f t="shared" si="22"/>
        <v/>
      </c>
      <c r="E394" s="20" t="str">
        <f t="shared" si="20"/>
        <v/>
      </c>
      <c r="F394" s="21" t="str">
        <f t="shared" si="21"/>
        <v/>
      </c>
    </row>
    <row r="395" spans="1:6" x14ac:dyDescent="0.25">
      <c r="A395" s="19" t="s">
        <v>511</v>
      </c>
      <c r="D395" s="19" t="str">
        <f t="shared" si="22"/>
        <v/>
      </c>
      <c r="E395" s="20" t="str">
        <f t="shared" si="20"/>
        <v/>
      </c>
      <c r="F395" s="21" t="str">
        <f t="shared" si="21"/>
        <v/>
      </c>
    </row>
    <row r="396" spans="1:6" x14ac:dyDescent="0.25">
      <c r="A396" s="19" t="s">
        <v>512</v>
      </c>
      <c r="D396" s="19" t="str">
        <f t="shared" si="22"/>
        <v/>
      </c>
      <c r="E396" s="20" t="str">
        <f t="shared" si="20"/>
        <v/>
      </c>
      <c r="F396" s="21" t="str">
        <f t="shared" si="21"/>
        <v/>
      </c>
    </row>
    <row r="397" spans="1:6" x14ac:dyDescent="0.25">
      <c r="A397" s="19" t="s">
        <v>590</v>
      </c>
      <c r="D397" s="19" t="str">
        <f t="shared" si="22"/>
        <v/>
      </c>
      <c r="E397" s="20" t="str">
        <f t="shared" si="20"/>
        <v/>
      </c>
      <c r="F397" s="21" t="str">
        <f t="shared" si="21"/>
        <v/>
      </c>
    </row>
    <row r="398" spans="1:6" x14ac:dyDescent="0.25">
      <c r="A398" s="19" t="s">
        <v>591</v>
      </c>
      <c r="D398" s="19" t="str">
        <f t="shared" si="22"/>
        <v/>
      </c>
      <c r="E398" s="20" t="str">
        <f t="shared" si="20"/>
        <v/>
      </c>
      <c r="F398" s="21" t="str">
        <f t="shared" si="21"/>
        <v/>
      </c>
    </row>
    <row r="399" spans="1:6" x14ac:dyDescent="0.25">
      <c r="A399" s="19" t="s">
        <v>592</v>
      </c>
      <c r="D399" s="19" t="str">
        <f t="shared" si="22"/>
        <v/>
      </c>
      <c r="E399" s="20" t="str">
        <f t="shared" si="20"/>
        <v/>
      </c>
      <c r="F399" s="21" t="str">
        <f t="shared" si="21"/>
        <v/>
      </c>
    </row>
    <row r="400" spans="1:6" x14ac:dyDescent="0.25">
      <c r="A400" s="19" t="s">
        <v>513</v>
      </c>
      <c r="D400" s="19" t="str">
        <f t="shared" si="22"/>
        <v/>
      </c>
      <c r="E400" s="20" t="str">
        <f t="shared" si="20"/>
        <v/>
      </c>
      <c r="F400" s="21" t="str">
        <f t="shared" si="21"/>
        <v/>
      </c>
    </row>
    <row r="401" spans="1:6" x14ac:dyDescent="0.25">
      <c r="A401" s="19" t="s">
        <v>593</v>
      </c>
      <c r="D401" s="19" t="str">
        <f t="shared" si="22"/>
        <v/>
      </c>
      <c r="E401" s="20" t="str">
        <f t="shared" si="20"/>
        <v/>
      </c>
      <c r="F401" s="21" t="str">
        <f t="shared" si="21"/>
        <v/>
      </c>
    </row>
    <row r="402" spans="1:6" x14ac:dyDescent="0.25">
      <c r="A402" s="19" t="s">
        <v>594</v>
      </c>
      <c r="D402" s="19" t="str">
        <f t="shared" si="22"/>
        <v/>
      </c>
      <c r="E402" s="20" t="str">
        <f t="shared" si="20"/>
        <v/>
      </c>
      <c r="F402" s="21" t="str">
        <f t="shared" si="21"/>
        <v/>
      </c>
    </row>
    <row r="403" spans="1:6" x14ac:dyDescent="0.25">
      <c r="A403" s="19" t="s">
        <v>514</v>
      </c>
      <c r="D403" s="19" t="str">
        <f t="shared" si="22"/>
        <v/>
      </c>
      <c r="E403" s="20" t="str">
        <f t="shared" si="20"/>
        <v/>
      </c>
      <c r="F403" s="21" t="str">
        <f t="shared" si="21"/>
        <v/>
      </c>
    </row>
    <row r="404" spans="1:6" x14ac:dyDescent="0.25">
      <c r="A404" s="19" t="s">
        <v>515</v>
      </c>
      <c r="D404" s="19" t="str">
        <f t="shared" si="22"/>
        <v/>
      </c>
      <c r="E404" s="20" t="str">
        <f t="shared" si="20"/>
        <v/>
      </c>
      <c r="F404" s="21" t="str">
        <f t="shared" si="21"/>
        <v/>
      </c>
    </row>
    <row r="405" spans="1:6" x14ac:dyDescent="0.25">
      <c r="A405" s="19" t="s">
        <v>516</v>
      </c>
      <c r="D405" s="19" t="str">
        <f t="shared" si="22"/>
        <v/>
      </c>
      <c r="E405" s="20" t="str">
        <f t="shared" si="20"/>
        <v/>
      </c>
      <c r="F405" s="21" t="str">
        <f t="shared" si="21"/>
        <v/>
      </c>
    </row>
    <row r="406" spans="1:6" x14ac:dyDescent="0.25">
      <c r="A406" s="19" t="s">
        <v>518</v>
      </c>
      <c r="D406" s="19" t="str">
        <f t="shared" si="22"/>
        <v/>
      </c>
      <c r="E406" s="20" t="str">
        <f t="shared" si="20"/>
        <v/>
      </c>
      <c r="F406" s="21" t="str">
        <f t="shared" si="21"/>
        <v/>
      </c>
    </row>
    <row r="407" spans="1:6" x14ac:dyDescent="0.25">
      <c r="A407" s="19" t="s">
        <v>520</v>
      </c>
      <c r="D407" s="19" t="str">
        <f t="shared" si="22"/>
        <v/>
      </c>
      <c r="E407" s="20" t="str">
        <f t="shared" si="20"/>
        <v/>
      </c>
      <c r="F407" s="21" t="str">
        <f t="shared" si="21"/>
        <v/>
      </c>
    </row>
    <row r="408" spans="1:6" x14ac:dyDescent="0.25">
      <c r="A408" s="19" t="s">
        <v>521</v>
      </c>
      <c r="D408" s="19" t="str">
        <f t="shared" si="22"/>
        <v/>
      </c>
      <c r="E408" s="20" t="str">
        <f t="shared" si="20"/>
        <v/>
      </c>
      <c r="F408" s="21" t="str">
        <f t="shared" si="21"/>
        <v/>
      </c>
    </row>
    <row r="409" spans="1:6" x14ac:dyDescent="0.25">
      <c r="A409" s="19" t="s">
        <v>523</v>
      </c>
      <c r="D409" s="19" t="str">
        <f t="shared" si="22"/>
        <v/>
      </c>
      <c r="E409" s="20" t="str">
        <f t="shared" si="20"/>
        <v/>
      </c>
      <c r="F409" s="21" t="str">
        <f t="shared" si="21"/>
        <v/>
      </c>
    </row>
    <row r="410" spans="1:6" x14ac:dyDescent="0.25">
      <c r="A410" s="19" t="s">
        <v>524</v>
      </c>
      <c r="D410" s="19" t="str">
        <f t="shared" si="22"/>
        <v/>
      </c>
      <c r="E410" s="20" t="str">
        <f t="shared" si="20"/>
        <v/>
      </c>
      <c r="F410" s="21" t="str">
        <f t="shared" si="21"/>
        <v/>
      </c>
    </row>
    <row r="411" spans="1:6" x14ac:dyDescent="0.25">
      <c r="A411" s="19" t="s">
        <v>525</v>
      </c>
      <c r="D411" s="19" t="str">
        <f t="shared" si="22"/>
        <v/>
      </c>
      <c r="E411" s="20" t="str">
        <f t="shared" si="20"/>
        <v/>
      </c>
      <c r="F411" s="21" t="str">
        <f t="shared" si="21"/>
        <v/>
      </c>
    </row>
    <row r="412" spans="1:6" x14ac:dyDescent="0.25">
      <c r="A412" s="19" t="s">
        <v>595</v>
      </c>
      <c r="D412" s="19" t="str">
        <f t="shared" si="22"/>
        <v/>
      </c>
      <c r="E412" s="20" t="str">
        <f t="shared" si="20"/>
        <v/>
      </c>
      <c r="F412" s="21" t="str">
        <f t="shared" si="21"/>
        <v/>
      </c>
    </row>
    <row r="413" spans="1:6" x14ac:dyDescent="0.25">
      <c r="A413" s="19" t="s">
        <v>526</v>
      </c>
      <c r="D413" s="19" t="str">
        <f t="shared" si="22"/>
        <v/>
      </c>
      <c r="E413" s="20" t="str">
        <f t="shared" si="20"/>
        <v/>
      </c>
      <c r="F413" s="21" t="str">
        <f t="shared" si="21"/>
        <v/>
      </c>
    </row>
    <row r="414" spans="1:6" x14ac:dyDescent="0.25">
      <c r="A414" s="19" t="s">
        <v>527</v>
      </c>
      <c r="D414" s="19" t="str">
        <f t="shared" si="22"/>
        <v/>
      </c>
      <c r="E414" s="20" t="str">
        <f t="shared" si="20"/>
        <v/>
      </c>
      <c r="F414" s="21" t="str">
        <f t="shared" si="21"/>
        <v/>
      </c>
    </row>
    <row r="415" spans="1:6" x14ac:dyDescent="0.25">
      <c r="A415" s="19" t="s">
        <v>596</v>
      </c>
      <c r="D415" s="19" t="str">
        <f t="shared" si="22"/>
        <v/>
      </c>
      <c r="E415" s="20" t="str">
        <f t="shared" si="20"/>
        <v/>
      </c>
      <c r="F415" s="21" t="str">
        <f t="shared" si="21"/>
        <v/>
      </c>
    </row>
    <row r="416" spans="1:6" x14ac:dyDescent="0.25">
      <c r="A416" s="19" t="s">
        <v>528</v>
      </c>
      <c r="D416" s="19" t="str">
        <f t="shared" si="22"/>
        <v/>
      </c>
      <c r="E416" s="20" t="str">
        <f t="shared" si="20"/>
        <v/>
      </c>
      <c r="F416" s="21" t="str">
        <f t="shared" si="21"/>
        <v/>
      </c>
    </row>
    <row r="417" spans="1:6" x14ac:dyDescent="0.25">
      <c r="A417" s="19" t="s">
        <v>597</v>
      </c>
      <c r="D417" s="19" t="str">
        <f t="shared" si="22"/>
        <v/>
      </c>
      <c r="E417" s="20" t="str">
        <f t="shared" si="20"/>
        <v/>
      </c>
      <c r="F417" s="21" t="str">
        <f t="shared" si="21"/>
        <v/>
      </c>
    </row>
    <row r="418" spans="1:6" x14ac:dyDescent="0.25">
      <c r="A418" s="19" t="s">
        <v>598</v>
      </c>
      <c r="D418" s="19" t="str">
        <f t="shared" si="22"/>
        <v/>
      </c>
      <c r="E418" s="20" t="str">
        <f t="shared" si="20"/>
        <v/>
      </c>
      <c r="F418" s="21" t="str">
        <f t="shared" si="21"/>
        <v/>
      </c>
    </row>
    <row r="419" spans="1:6" x14ac:dyDescent="0.25">
      <c r="A419" s="19" t="s">
        <v>599</v>
      </c>
      <c r="D419" s="19" t="str">
        <f t="shared" si="22"/>
        <v/>
      </c>
      <c r="E419" s="20" t="str">
        <f t="shared" si="20"/>
        <v/>
      </c>
      <c r="F419" s="21" t="str">
        <f t="shared" si="21"/>
        <v/>
      </c>
    </row>
    <row r="420" spans="1:6" x14ac:dyDescent="0.25">
      <c r="A420" s="19" t="s">
        <v>530</v>
      </c>
      <c r="D420" s="19" t="str">
        <f t="shared" si="22"/>
        <v/>
      </c>
      <c r="E420" s="20" t="str">
        <f t="shared" si="20"/>
        <v/>
      </c>
      <c r="F420" s="21" t="str">
        <f t="shared" si="21"/>
        <v/>
      </c>
    </row>
    <row r="421" spans="1:6" x14ac:dyDescent="0.25">
      <c r="A421" s="19" t="s">
        <v>531</v>
      </c>
      <c r="D421" s="19" t="str">
        <f t="shared" si="22"/>
        <v/>
      </c>
      <c r="E421" s="20" t="str">
        <f t="shared" si="20"/>
        <v/>
      </c>
      <c r="F421" s="21" t="str">
        <f t="shared" si="21"/>
        <v/>
      </c>
    </row>
    <row r="422" spans="1:6" x14ac:dyDescent="0.25">
      <c r="A422" s="19" t="s">
        <v>532</v>
      </c>
      <c r="D422" s="19" t="str">
        <f t="shared" si="22"/>
        <v/>
      </c>
      <c r="E422" s="20" t="str">
        <f t="shared" si="20"/>
        <v/>
      </c>
      <c r="F422" s="21" t="str">
        <f t="shared" si="21"/>
        <v/>
      </c>
    </row>
    <row r="423" spans="1:6" x14ac:dyDescent="0.25">
      <c r="A423" s="19" t="s">
        <v>600</v>
      </c>
      <c r="D423" s="19" t="str">
        <f t="shared" si="22"/>
        <v/>
      </c>
      <c r="E423" s="20" t="str">
        <f t="shared" si="20"/>
        <v/>
      </c>
      <c r="F423" s="21" t="str">
        <f t="shared" si="21"/>
        <v/>
      </c>
    </row>
    <row r="424" spans="1:6" x14ac:dyDescent="0.25">
      <c r="A424" s="19" t="s">
        <v>533</v>
      </c>
      <c r="D424" s="19" t="str">
        <f t="shared" si="22"/>
        <v/>
      </c>
      <c r="E424" s="20" t="str">
        <f t="shared" si="20"/>
        <v/>
      </c>
      <c r="F424" s="21" t="str">
        <f t="shared" si="21"/>
        <v/>
      </c>
    </row>
    <row r="425" spans="1:6" x14ac:dyDescent="0.25">
      <c r="A425" s="19" t="s">
        <v>534</v>
      </c>
      <c r="D425" s="19" t="str">
        <f t="shared" si="22"/>
        <v/>
      </c>
      <c r="E425" s="20" t="str">
        <f t="shared" si="20"/>
        <v/>
      </c>
      <c r="F425" s="21" t="str">
        <f t="shared" si="21"/>
        <v/>
      </c>
    </row>
    <row r="426" spans="1:6" x14ac:dyDescent="0.25">
      <c r="A426" s="19" t="s">
        <v>535</v>
      </c>
      <c r="D426" s="19" t="str">
        <f t="shared" si="22"/>
        <v/>
      </c>
      <c r="E426" s="20" t="str">
        <f t="shared" si="20"/>
        <v/>
      </c>
      <c r="F426" s="21" t="str">
        <f t="shared" si="21"/>
        <v/>
      </c>
    </row>
    <row r="427" spans="1:6" x14ac:dyDescent="0.25">
      <c r="A427" s="19" t="s">
        <v>601</v>
      </c>
      <c r="D427" s="19" t="str">
        <f t="shared" si="22"/>
        <v/>
      </c>
      <c r="E427" s="20" t="str">
        <f t="shared" si="20"/>
        <v/>
      </c>
      <c r="F427" s="21" t="str">
        <f t="shared" si="21"/>
        <v/>
      </c>
    </row>
    <row r="428" spans="1:6" x14ac:dyDescent="0.25">
      <c r="A428" s="19" t="s">
        <v>536</v>
      </c>
      <c r="D428" s="19" t="str">
        <f t="shared" si="22"/>
        <v/>
      </c>
      <c r="E428" s="20" t="str">
        <f t="shared" si="20"/>
        <v/>
      </c>
      <c r="F428" s="21" t="str">
        <f t="shared" si="21"/>
        <v/>
      </c>
    </row>
    <row r="429" spans="1:6" x14ac:dyDescent="0.25">
      <c r="A429" s="19" t="s">
        <v>537</v>
      </c>
      <c r="D429" s="19" t="str">
        <f t="shared" si="22"/>
        <v/>
      </c>
      <c r="E429" s="20" t="str">
        <f t="shared" si="20"/>
        <v/>
      </c>
      <c r="F429" s="21" t="str">
        <f t="shared" si="21"/>
        <v/>
      </c>
    </row>
    <row r="430" spans="1:6" x14ac:dyDescent="0.25">
      <c r="A430" s="19" t="s">
        <v>539</v>
      </c>
      <c r="D430" s="19" t="str">
        <f t="shared" si="22"/>
        <v/>
      </c>
      <c r="E430" s="20" t="str">
        <f t="shared" si="20"/>
        <v/>
      </c>
      <c r="F430" s="21" t="str">
        <f t="shared" si="21"/>
        <v/>
      </c>
    </row>
    <row r="431" spans="1:6" x14ac:dyDescent="0.25">
      <c r="A431" s="19" t="s">
        <v>541</v>
      </c>
      <c r="D431" s="19" t="str">
        <f t="shared" si="22"/>
        <v/>
      </c>
      <c r="E431" s="20" t="str">
        <f t="shared" si="20"/>
        <v/>
      </c>
      <c r="F431" s="21" t="str">
        <f t="shared" si="21"/>
        <v/>
      </c>
    </row>
    <row r="432" spans="1:6" x14ac:dyDescent="0.25">
      <c r="A432" s="19" t="s">
        <v>543</v>
      </c>
      <c r="D432" s="19" t="str">
        <f t="shared" si="22"/>
        <v/>
      </c>
      <c r="E432" s="20" t="str">
        <f t="shared" si="20"/>
        <v/>
      </c>
      <c r="F432" s="21" t="str">
        <f t="shared" si="21"/>
        <v/>
      </c>
    </row>
    <row r="433" spans="1:6" x14ac:dyDescent="0.25">
      <c r="A433" s="19" t="s">
        <v>602</v>
      </c>
      <c r="D433" s="19" t="str">
        <f t="shared" si="22"/>
        <v/>
      </c>
      <c r="E433" s="20" t="str">
        <f t="shared" si="20"/>
        <v/>
      </c>
      <c r="F433" s="21" t="str">
        <f t="shared" si="21"/>
        <v/>
      </c>
    </row>
    <row r="434" spans="1:6" x14ac:dyDescent="0.25">
      <c r="A434" s="19" t="s">
        <v>545</v>
      </c>
      <c r="D434" s="19" t="str">
        <f t="shared" si="22"/>
        <v/>
      </c>
      <c r="E434" s="20" t="str">
        <f t="shared" si="20"/>
        <v/>
      </c>
      <c r="F434" s="21" t="str">
        <f t="shared" si="21"/>
        <v/>
      </c>
    </row>
    <row r="435" spans="1:6" x14ac:dyDescent="0.25">
      <c r="A435" s="19" t="s">
        <v>603</v>
      </c>
      <c r="D435" s="19" t="str">
        <f t="shared" si="22"/>
        <v/>
      </c>
      <c r="E435" s="20" t="str">
        <f t="shared" si="20"/>
        <v/>
      </c>
      <c r="F435" s="21" t="str">
        <f t="shared" si="21"/>
        <v/>
      </c>
    </row>
    <row r="436" spans="1:6" x14ac:dyDescent="0.25">
      <c r="A436" s="19" t="s">
        <v>604</v>
      </c>
      <c r="D436" s="19" t="str">
        <f t="shared" si="22"/>
        <v/>
      </c>
      <c r="E436" s="20" t="str">
        <f t="shared" si="20"/>
        <v/>
      </c>
      <c r="F436" s="21" t="str">
        <f t="shared" si="21"/>
        <v/>
      </c>
    </row>
    <row r="437" spans="1:6" x14ac:dyDescent="0.25">
      <c r="A437" s="19" t="s">
        <v>546</v>
      </c>
      <c r="D437" s="19" t="str">
        <f t="shared" si="22"/>
        <v/>
      </c>
      <c r="E437" s="20" t="str">
        <f t="shared" si="20"/>
        <v/>
      </c>
      <c r="F437" s="21" t="str">
        <f t="shared" si="21"/>
        <v/>
      </c>
    </row>
    <row r="438" spans="1:6" x14ac:dyDescent="0.25">
      <c r="A438" s="19" t="s">
        <v>548</v>
      </c>
      <c r="D438" s="19" t="str">
        <f t="shared" si="22"/>
        <v/>
      </c>
      <c r="E438" s="20" t="str">
        <f t="shared" si="20"/>
        <v/>
      </c>
      <c r="F438" s="21" t="str">
        <f t="shared" si="21"/>
        <v/>
      </c>
    </row>
    <row r="439" spans="1:6" x14ac:dyDescent="0.25">
      <c r="A439" s="19" t="s">
        <v>549</v>
      </c>
      <c r="D439" s="19" t="str">
        <f t="shared" si="22"/>
        <v/>
      </c>
      <c r="E439" s="20" t="str">
        <f t="shared" si="20"/>
        <v/>
      </c>
      <c r="F439" s="21" t="str">
        <f t="shared" si="21"/>
        <v/>
      </c>
    </row>
    <row r="440" spans="1:6" x14ac:dyDescent="0.25">
      <c r="A440" s="19" t="s">
        <v>550</v>
      </c>
      <c r="D440" s="19" t="str">
        <f t="shared" si="22"/>
        <v/>
      </c>
      <c r="E440" s="20" t="str">
        <f t="shared" si="20"/>
        <v/>
      </c>
      <c r="F440" s="21" t="str">
        <f t="shared" si="21"/>
        <v/>
      </c>
    </row>
    <row r="441" spans="1:6" x14ac:dyDescent="0.25">
      <c r="A441" s="19" t="s">
        <v>551</v>
      </c>
      <c r="D441" s="19" t="str">
        <f t="shared" si="22"/>
        <v/>
      </c>
      <c r="E441" s="20" t="str">
        <f t="shared" si="20"/>
        <v/>
      </c>
      <c r="F441" s="21" t="str">
        <f t="shared" si="21"/>
        <v/>
      </c>
    </row>
    <row r="442" spans="1:6" x14ac:dyDescent="0.25">
      <c r="A442" s="19" t="s">
        <v>605</v>
      </c>
      <c r="D442" s="19" t="str">
        <f t="shared" si="22"/>
        <v/>
      </c>
      <c r="E442" s="20" t="str">
        <f t="shared" si="20"/>
        <v/>
      </c>
      <c r="F442" s="21" t="str">
        <f t="shared" si="21"/>
        <v/>
      </c>
    </row>
    <row r="443" spans="1:6" x14ac:dyDescent="0.25">
      <c r="A443" s="19" t="s">
        <v>553</v>
      </c>
      <c r="D443" s="19" t="str">
        <f t="shared" si="22"/>
        <v/>
      </c>
      <c r="E443" s="20" t="str">
        <f t="shared" si="20"/>
        <v/>
      </c>
      <c r="F443" s="21" t="str">
        <f t="shared" si="21"/>
        <v/>
      </c>
    </row>
    <row r="444" spans="1:6" x14ac:dyDescent="0.25">
      <c r="A444" s="19" t="s">
        <v>555</v>
      </c>
      <c r="D444" s="19" t="str">
        <f t="shared" si="22"/>
        <v/>
      </c>
      <c r="E444" s="20" t="str">
        <f t="shared" si="20"/>
        <v/>
      </c>
      <c r="F444" s="21" t="str">
        <f t="shared" si="21"/>
        <v/>
      </c>
    </row>
    <row r="445" spans="1:6" x14ac:dyDescent="0.25">
      <c r="A445" s="19" t="s">
        <v>606</v>
      </c>
      <c r="D445" s="19" t="str">
        <f t="shared" si="22"/>
        <v/>
      </c>
      <c r="E445" s="20" t="str">
        <f t="shared" si="20"/>
        <v/>
      </c>
      <c r="F445" s="21" t="str">
        <f t="shared" si="21"/>
        <v/>
      </c>
    </row>
    <row r="446" spans="1:6" x14ac:dyDescent="0.25">
      <c r="A446" s="19" t="s">
        <v>607</v>
      </c>
      <c r="D446" s="19" t="str">
        <f t="shared" si="22"/>
        <v/>
      </c>
      <c r="E446" s="20" t="str">
        <f t="shared" si="20"/>
        <v/>
      </c>
      <c r="F446" s="21" t="str">
        <f t="shared" si="21"/>
        <v/>
      </c>
    </row>
    <row r="447" spans="1:6" x14ac:dyDescent="0.25">
      <c r="A447" s="19" t="s">
        <v>556</v>
      </c>
      <c r="D447" s="19" t="str">
        <f t="shared" si="22"/>
        <v/>
      </c>
      <c r="E447" s="20" t="str">
        <f t="shared" si="20"/>
        <v/>
      </c>
      <c r="F447" s="21" t="str">
        <f t="shared" si="21"/>
        <v/>
      </c>
    </row>
    <row r="448" spans="1:6" x14ac:dyDescent="0.25">
      <c r="A448" s="19" t="s">
        <v>557</v>
      </c>
      <c r="D448" s="19" t="str">
        <f t="shared" si="22"/>
        <v/>
      </c>
      <c r="E448" s="20" t="str">
        <f t="shared" si="20"/>
        <v/>
      </c>
      <c r="F448" s="21" t="str">
        <f t="shared" si="21"/>
        <v/>
      </c>
    </row>
    <row r="449" spans="1:6" x14ac:dyDescent="0.25">
      <c r="A449" s="19" t="s">
        <v>558</v>
      </c>
      <c r="D449" s="19" t="str">
        <f t="shared" si="22"/>
        <v/>
      </c>
      <c r="E449" s="20" t="str">
        <f t="shared" si="20"/>
        <v/>
      </c>
      <c r="F449" s="21" t="str">
        <f t="shared" si="21"/>
        <v/>
      </c>
    </row>
    <row r="450" spans="1:6" x14ac:dyDescent="0.25">
      <c r="A450" s="19" t="s">
        <v>559</v>
      </c>
      <c r="D450" s="19" t="str">
        <f t="shared" si="22"/>
        <v/>
      </c>
      <c r="E450" s="20" t="str">
        <f t="shared" si="20"/>
        <v/>
      </c>
      <c r="F450" s="21" t="str">
        <f t="shared" si="21"/>
        <v/>
      </c>
    </row>
    <row r="451" spans="1:6" x14ac:dyDescent="0.25">
      <c r="A451" s="19" t="s">
        <v>608</v>
      </c>
      <c r="D451" s="19" t="str">
        <f t="shared" si="22"/>
        <v/>
      </c>
      <c r="E451" s="20" t="str">
        <f t="shared" ref="E451:E513" si="23">IF(D451&lt;&gt;"",INDEX($B$2:$C$387,D451,1),"")</f>
        <v/>
      </c>
      <c r="F451" s="21" t="str">
        <f t="shared" ref="F451:F513" si="24">IF(D451&lt;&gt;"",INDEX($B$2:$C$566,D451,2),"")</f>
        <v/>
      </c>
    </row>
    <row r="452" spans="1:6" x14ac:dyDescent="0.25">
      <c r="A452" s="19" t="s">
        <v>609</v>
      </c>
      <c r="D452" s="19" t="str">
        <f t="shared" si="22"/>
        <v/>
      </c>
      <c r="E452" s="20" t="str">
        <f t="shared" si="23"/>
        <v/>
      </c>
      <c r="F452" s="21" t="str">
        <f t="shared" si="24"/>
        <v/>
      </c>
    </row>
    <row r="453" spans="1:6" x14ac:dyDescent="0.25">
      <c r="A453" s="19" t="s">
        <v>610</v>
      </c>
      <c r="D453" s="19" t="str">
        <f t="shared" ref="D453:D513" si="25">IFERROR(MATCH(A453,$B$2:$B$579,),"")</f>
        <v/>
      </c>
      <c r="E453" s="20" t="str">
        <f t="shared" si="23"/>
        <v/>
      </c>
      <c r="F453" s="21" t="str">
        <f t="shared" si="24"/>
        <v/>
      </c>
    </row>
    <row r="454" spans="1:6" x14ac:dyDescent="0.25">
      <c r="A454" s="19" t="s">
        <v>611</v>
      </c>
      <c r="D454" s="19" t="str">
        <f t="shared" si="25"/>
        <v/>
      </c>
      <c r="E454" s="20" t="str">
        <f t="shared" si="23"/>
        <v/>
      </c>
      <c r="F454" s="21" t="str">
        <f t="shared" si="24"/>
        <v/>
      </c>
    </row>
    <row r="455" spans="1:6" x14ac:dyDescent="0.25">
      <c r="A455" s="19" t="s">
        <v>612</v>
      </c>
      <c r="D455" s="19" t="str">
        <f t="shared" si="25"/>
        <v/>
      </c>
      <c r="E455" s="20" t="str">
        <f t="shared" si="23"/>
        <v/>
      </c>
      <c r="F455" s="21" t="str">
        <f t="shared" si="24"/>
        <v/>
      </c>
    </row>
    <row r="456" spans="1:6" x14ac:dyDescent="0.25">
      <c r="A456" s="19" t="s">
        <v>560</v>
      </c>
      <c r="D456" s="19" t="str">
        <f t="shared" si="25"/>
        <v/>
      </c>
      <c r="E456" s="20" t="str">
        <f t="shared" si="23"/>
        <v/>
      </c>
      <c r="F456" s="21" t="str">
        <f t="shared" si="24"/>
        <v/>
      </c>
    </row>
    <row r="457" spans="1:6" x14ac:dyDescent="0.25">
      <c r="A457" s="19" t="s">
        <v>561</v>
      </c>
      <c r="D457" s="19" t="str">
        <f t="shared" si="25"/>
        <v/>
      </c>
      <c r="E457" s="20" t="str">
        <f t="shared" si="23"/>
        <v/>
      </c>
      <c r="F457" s="21" t="str">
        <f t="shared" si="24"/>
        <v/>
      </c>
    </row>
    <row r="458" spans="1:6" x14ac:dyDescent="0.25">
      <c r="A458" s="19" t="s">
        <v>613</v>
      </c>
      <c r="D458" s="19" t="str">
        <f t="shared" si="25"/>
        <v/>
      </c>
      <c r="E458" s="20" t="str">
        <f t="shared" si="23"/>
        <v/>
      </c>
      <c r="F458" s="21" t="str">
        <f t="shared" si="24"/>
        <v/>
      </c>
    </row>
    <row r="459" spans="1:6" x14ac:dyDescent="0.25">
      <c r="A459" s="19" t="s">
        <v>614</v>
      </c>
      <c r="D459" s="19" t="str">
        <f t="shared" si="25"/>
        <v/>
      </c>
      <c r="E459" s="20" t="str">
        <f t="shared" si="23"/>
        <v/>
      </c>
      <c r="F459" s="21" t="str">
        <f t="shared" si="24"/>
        <v/>
      </c>
    </row>
    <row r="460" spans="1:6" x14ac:dyDescent="0.25">
      <c r="A460" s="19" t="s">
        <v>562</v>
      </c>
      <c r="D460" s="19" t="str">
        <f t="shared" si="25"/>
        <v/>
      </c>
      <c r="E460" s="20" t="str">
        <f t="shared" si="23"/>
        <v/>
      </c>
      <c r="F460" s="21" t="str">
        <f t="shared" si="24"/>
        <v/>
      </c>
    </row>
    <row r="461" spans="1:6" x14ac:dyDescent="0.25">
      <c r="A461" s="19" t="s">
        <v>564</v>
      </c>
      <c r="D461" s="19" t="str">
        <f t="shared" si="25"/>
        <v/>
      </c>
      <c r="E461" s="20" t="str">
        <f t="shared" si="23"/>
        <v/>
      </c>
      <c r="F461" s="21" t="str">
        <f t="shared" si="24"/>
        <v/>
      </c>
    </row>
    <row r="462" spans="1:6" x14ac:dyDescent="0.25">
      <c r="A462" s="19" t="s">
        <v>565</v>
      </c>
      <c r="D462" s="19" t="str">
        <f t="shared" si="25"/>
        <v/>
      </c>
      <c r="E462" s="20" t="str">
        <f t="shared" si="23"/>
        <v/>
      </c>
      <c r="F462" s="21" t="str">
        <f t="shared" si="24"/>
        <v/>
      </c>
    </row>
    <row r="463" spans="1:6" x14ac:dyDescent="0.25">
      <c r="A463" s="19" t="s">
        <v>615</v>
      </c>
      <c r="D463" s="19" t="str">
        <f t="shared" si="25"/>
        <v/>
      </c>
      <c r="E463" s="20" t="str">
        <f t="shared" si="23"/>
        <v/>
      </c>
      <c r="F463" s="21" t="str">
        <f t="shared" si="24"/>
        <v/>
      </c>
    </row>
    <row r="464" spans="1:6" x14ac:dyDescent="0.25">
      <c r="A464" s="19" t="s">
        <v>616</v>
      </c>
      <c r="D464" s="19" t="str">
        <f t="shared" si="25"/>
        <v/>
      </c>
      <c r="E464" s="20" t="str">
        <f t="shared" si="23"/>
        <v/>
      </c>
      <c r="F464" s="21" t="str">
        <f t="shared" si="24"/>
        <v/>
      </c>
    </row>
    <row r="465" spans="1:6" x14ac:dyDescent="0.25">
      <c r="A465" s="19" t="s">
        <v>566</v>
      </c>
      <c r="D465" s="19" t="str">
        <f t="shared" si="25"/>
        <v/>
      </c>
      <c r="E465" s="20" t="str">
        <f t="shared" si="23"/>
        <v/>
      </c>
      <c r="F465" s="21" t="str">
        <f t="shared" si="24"/>
        <v/>
      </c>
    </row>
    <row r="466" spans="1:6" x14ac:dyDescent="0.25">
      <c r="A466" s="19" t="s">
        <v>617</v>
      </c>
      <c r="D466" s="19" t="str">
        <f t="shared" si="25"/>
        <v/>
      </c>
      <c r="E466" s="20" t="str">
        <f t="shared" si="23"/>
        <v/>
      </c>
      <c r="F466" s="21" t="str">
        <f t="shared" si="24"/>
        <v/>
      </c>
    </row>
    <row r="467" spans="1:6" x14ac:dyDescent="0.25">
      <c r="A467" s="19" t="s">
        <v>618</v>
      </c>
      <c r="D467" s="19" t="str">
        <f t="shared" si="25"/>
        <v/>
      </c>
      <c r="E467" s="20" t="str">
        <f t="shared" si="23"/>
        <v/>
      </c>
      <c r="F467" s="21" t="str">
        <f t="shared" si="24"/>
        <v/>
      </c>
    </row>
    <row r="468" spans="1:6" x14ac:dyDescent="0.25">
      <c r="A468" s="19" t="s">
        <v>619</v>
      </c>
      <c r="D468" s="19" t="str">
        <f t="shared" si="25"/>
        <v/>
      </c>
      <c r="E468" s="20" t="str">
        <f t="shared" si="23"/>
        <v/>
      </c>
      <c r="F468" s="21" t="str">
        <f t="shared" si="24"/>
        <v/>
      </c>
    </row>
    <row r="469" spans="1:6" x14ac:dyDescent="0.25">
      <c r="A469" s="19" t="s">
        <v>568</v>
      </c>
      <c r="D469" s="19" t="str">
        <f t="shared" si="25"/>
        <v/>
      </c>
      <c r="E469" s="20" t="str">
        <f t="shared" si="23"/>
        <v/>
      </c>
      <c r="F469" s="21" t="str">
        <f t="shared" si="24"/>
        <v/>
      </c>
    </row>
    <row r="470" spans="1:6" x14ac:dyDescent="0.25">
      <c r="A470" s="19" t="s">
        <v>569</v>
      </c>
      <c r="D470" s="19" t="str">
        <f t="shared" si="25"/>
        <v/>
      </c>
      <c r="E470" s="20" t="str">
        <f t="shared" si="23"/>
        <v/>
      </c>
      <c r="F470" s="21" t="str">
        <f t="shared" si="24"/>
        <v/>
      </c>
    </row>
    <row r="471" spans="1:6" x14ac:dyDescent="0.25">
      <c r="A471" s="19" t="s">
        <v>620</v>
      </c>
      <c r="D471" s="19" t="str">
        <f t="shared" si="25"/>
        <v/>
      </c>
      <c r="E471" s="20" t="str">
        <f t="shared" si="23"/>
        <v/>
      </c>
      <c r="F471" s="21" t="str">
        <f t="shared" si="24"/>
        <v/>
      </c>
    </row>
    <row r="472" spans="1:6" x14ac:dyDescent="0.25">
      <c r="A472" s="19" t="s">
        <v>621</v>
      </c>
      <c r="D472" s="19" t="str">
        <f t="shared" si="25"/>
        <v/>
      </c>
      <c r="E472" s="20" t="str">
        <f t="shared" si="23"/>
        <v/>
      </c>
      <c r="F472" s="21" t="str">
        <f t="shared" si="24"/>
        <v/>
      </c>
    </row>
    <row r="473" spans="1:6" x14ac:dyDescent="0.25">
      <c r="A473" s="19" t="s">
        <v>622</v>
      </c>
      <c r="D473" s="19" t="str">
        <f t="shared" si="25"/>
        <v/>
      </c>
      <c r="E473" s="20" t="str">
        <f t="shared" si="23"/>
        <v/>
      </c>
      <c r="F473" s="21" t="str">
        <f t="shared" si="24"/>
        <v/>
      </c>
    </row>
    <row r="474" spans="1:6" x14ac:dyDescent="0.25">
      <c r="A474" s="19" t="s">
        <v>623</v>
      </c>
      <c r="D474" s="19" t="str">
        <f t="shared" si="25"/>
        <v/>
      </c>
      <c r="E474" s="20" t="str">
        <f t="shared" si="23"/>
        <v/>
      </c>
      <c r="F474" s="21" t="str">
        <f t="shared" si="24"/>
        <v/>
      </c>
    </row>
    <row r="475" spans="1:6" x14ac:dyDescent="0.25">
      <c r="A475" s="19" t="s">
        <v>624</v>
      </c>
      <c r="D475" s="19" t="str">
        <f t="shared" si="25"/>
        <v/>
      </c>
      <c r="E475" s="20" t="str">
        <f t="shared" si="23"/>
        <v/>
      </c>
      <c r="F475" s="21" t="str">
        <f t="shared" si="24"/>
        <v/>
      </c>
    </row>
    <row r="476" spans="1:6" x14ac:dyDescent="0.25">
      <c r="A476" s="19" t="s">
        <v>625</v>
      </c>
      <c r="D476" s="19" t="str">
        <f t="shared" si="25"/>
        <v/>
      </c>
      <c r="E476" s="20" t="str">
        <f t="shared" si="23"/>
        <v/>
      </c>
      <c r="F476" s="21" t="str">
        <f t="shared" si="24"/>
        <v/>
      </c>
    </row>
    <row r="477" spans="1:6" x14ac:dyDescent="0.25">
      <c r="A477" s="19" t="s">
        <v>626</v>
      </c>
      <c r="D477" s="19" t="str">
        <f t="shared" si="25"/>
        <v/>
      </c>
      <c r="E477" s="20" t="str">
        <f t="shared" si="23"/>
        <v/>
      </c>
      <c r="F477" s="21" t="str">
        <f t="shared" si="24"/>
        <v/>
      </c>
    </row>
    <row r="478" spans="1:6" x14ac:dyDescent="0.25">
      <c r="A478" s="19" t="s">
        <v>627</v>
      </c>
      <c r="D478" s="19" t="str">
        <f t="shared" si="25"/>
        <v/>
      </c>
      <c r="E478" s="20" t="str">
        <f t="shared" si="23"/>
        <v/>
      </c>
      <c r="F478" s="21" t="str">
        <f t="shared" si="24"/>
        <v/>
      </c>
    </row>
    <row r="479" spans="1:6" x14ac:dyDescent="0.25">
      <c r="A479" s="19" t="s">
        <v>628</v>
      </c>
      <c r="D479" s="19" t="str">
        <f t="shared" si="25"/>
        <v/>
      </c>
      <c r="E479" s="20" t="str">
        <f t="shared" si="23"/>
        <v/>
      </c>
      <c r="F479" s="21" t="str">
        <f t="shared" si="24"/>
        <v/>
      </c>
    </row>
    <row r="480" spans="1:6" x14ac:dyDescent="0.25">
      <c r="A480" s="19" t="s">
        <v>629</v>
      </c>
      <c r="D480" s="19" t="str">
        <f t="shared" si="25"/>
        <v/>
      </c>
      <c r="E480" s="20" t="str">
        <f t="shared" si="23"/>
        <v/>
      </c>
      <c r="F480" s="21" t="str">
        <f t="shared" si="24"/>
        <v/>
      </c>
    </row>
    <row r="481" spans="1:6" x14ac:dyDescent="0.25">
      <c r="A481" s="19" t="s">
        <v>630</v>
      </c>
      <c r="D481" s="19" t="str">
        <f t="shared" si="25"/>
        <v/>
      </c>
      <c r="E481" s="20" t="str">
        <f t="shared" si="23"/>
        <v/>
      </c>
      <c r="F481" s="21" t="str">
        <f t="shared" si="24"/>
        <v/>
      </c>
    </row>
    <row r="482" spans="1:6" x14ac:dyDescent="0.25">
      <c r="A482" s="19" t="s">
        <v>631</v>
      </c>
      <c r="D482" s="19" t="str">
        <f t="shared" si="25"/>
        <v/>
      </c>
      <c r="E482" s="20" t="str">
        <f t="shared" si="23"/>
        <v/>
      </c>
      <c r="F482" s="21" t="str">
        <f t="shared" si="24"/>
        <v/>
      </c>
    </row>
    <row r="483" spans="1:6" x14ac:dyDescent="0.25">
      <c r="A483" s="19" t="s">
        <v>632</v>
      </c>
      <c r="D483" s="19" t="str">
        <f t="shared" si="25"/>
        <v/>
      </c>
      <c r="E483" s="20" t="str">
        <f t="shared" si="23"/>
        <v/>
      </c>
      <c r="F483" s="21" t="str">
        <f t="shared" si="24"/>
        <v/>
      </c>
    </row>
    <row r="484" spans="1:6" x14ac:dyDescent="0.25">
      <c r="A484" s="19" t="s">
        <v>633</v>
      </c>
      <c r="D484" s="19" t="str">
        <f t="shared" si="25"/>
        <v/>
      </c>
      <c r="E484" s="20" t="str">
        <f t="shared" si="23"/>
        <v/>
      </c>
      <c r="F484" s="21" t="str">
        <f t="shared" si="24"/>
        <v/>
      </c>
    </row>
    <row r="485" spans="1:6" x14ac:dyDescent="0.25">
      <c r="A485" s="19" t="s">
        <v>571</v>
      </c>
      <c r="D485" s="19" t="str">
        <f t="shared" si="25"/>
        <v/>
      </c>
      <c r="E485" s="20" t="str">
        <f t="shared" si="23"/>
        <v/>
      </c>
      <c r="F485" s="21" t="str">
        <f t="shared" si="24"/>
        <v/>
      </c>
    </row>
    <row r="486" spans="1:6" x14ac:dyDescent="0.25">
      <c r="A486" s="19" t="s">
        <v>634</v>
      </c>
      <c r="D486" s="19" t="str">
        <f t="shared" si="25"/>
        <v/>
      </c>
      <c r="E486" s="20" t="str">
        <f t="shared" si="23"/>
        <v/>
      </c>
      <c r="F486" s="21" t="str">
        <f t="shared" si="24"/>
        <v/>
      </c>
    </row>
    <row r="487" spans="1:6" x14ac:dyDescent="0.25">
      <c r="A487" s="19" t="s">
        <v>635</v>
      </c>
      <c r="D487" s="19" t="str">
        <f t="shared" si="25"/>
        <v/>
      </c>
      <c r="E487" s="20" t="str">
        <f t="shared" si="23"/>
        <v/>
      </c>
      <c r="F487" s="21" t="str">
        <f t="shared" si="24"/>
        <v/>
      </c>
    </row>
    <row r="488" spans="1:6" x14ac:dyDescent="0.25">
      <c r="A488" s="19" t="s">
        <v>636</v>
      </c>
      <c r="D488" s="19" t="str">
        <f t="shared" si="25"/>
        <v/>
      </c>
      <c r="E488" s="20" t="str">
        <f t="shared" si="23"/>
        <v/>
      </c>
      <c r="F488" s="21" t="str">
        <f t="shared" si="24"/>
        <v/>
      </c>
    </row>
    <row r="489" spans="1:6" x14ac:dyDescent="0.25">
      <c r="A489" s="19" t="s">
        <v>637</v>
      </c>
      <c r="D489" s="19" t="str">
        <f t="shared" si="25"/>
        <v/>
      </c>
      <c r="E489" s="20" t="str">
        <f t="shared" si="23"/>
        <v/>
      </c>
      <c r="F489" s="21" t="str">
        <f t="shared" si="24"/>
        <v/>
      </c>
    </row>
    <row r="490" spans="1:6" x14ac:dyDescent="0.25">
      <c r="A490" s="19" t="s">
        <v>638</v>
      </c>
      <c r="D490" s="19" t="str">
        <f t="shared" si="25"/>
        <v/>
      </c>
      <c r="E490" s="20" t="str">
        <f t="shared" si="23"/>
        <v/>
      </c>
      <c r="F490" s="21" t="str">
        <f t="shared" si="24"/>
        <v/>
      </c>
    </row>
    <row r="491" spans="1:6" x14ac:dyDescent="0.25">
      <c r="A491" s="19" t="s">
        <v>639</v>
      </c>
      <c r="D491" s="19" t="str">
        <f t="shared" si="25"/>
        <v/>
      </c>
      <c r="E491" s="20" t="str">
        <f t="shared" si="23"/>
        <v/>
      </c>
      <c r="F491" s="21" t="str">
        <f t="shared" si="24"/>
        <v/>
      </c>
    </row>
    <row r="492" spans="1:6" x14ac:dyDescent="0.25">
      <c r="A492" s="19" t="s">
        <v>640</v>
      </c>
      <c r="D492" s="19" t="str">
        <f t="shared" si="25"/>
        <v/>
      </c>
      <c r="E492" s="20" t="str">
        <f t="shared" si="23"/>
        <v/>
      </c>
      <c r="F492" s="21" t="str">
        <f t="shared" si="24"/>
        <v/>
      </c>
    </row>
    <row r="493" spans="1:6" x14ac:dyDescent="0.25">
      <c r="A493" s="19" t="s">
        <v>641</v>
      </c>
      <c r="D493" s="19" t="str">
        <f t="shared" si="25"/>
        <v/>
      </c>
      <c r="E493" s="20" t="str">
        <f t="shared" si="23"/>
        <v/>
      </c>
      <c r="F493" s="21" t="str">
        <f t="shared" si="24"/>
        <v/>
      </c>
    </row>
    <row r="494" spans="1:6" x14ac:dyDescent="0.25">
      <c r="A494" s="19" t="s">
        <v>642</v>
      </c>
      <c r="D494" s="19" t="str">
        <f t="shared" si="25"/>
        <v/>
      </c>
      <c r="E494" s="20" t="str">
        <f t="shared" si="23"/>
        <v/>
      </c>
      <c r="F494" s="21" t="str">
        <f t="shared" si="24"/>
        <v/>
      </c>
    </row>
    <row r="495" spans="1:6" x14ac:dyDescent="0.25">
      <c r="A495" s="19" t="s">
        <v>643</v>
      </c>
      <c r="D495" s="19" t="str">
        <f t="shared" si="25"/>
        <v/>
      </c>
      <c r="E495" s="20" t="str">
        <f t="shared" si="23"/>
        <v/>
      </c>
      <c r="F495" s="21" t="str">
        <f t="shared" si="24"/>
        <v/>
      </c>
    </row>
    <row r="496" spans="1:6" x14ac:dyDescent="0.25">
      <c r="A496" s="19" t="s">
        <v>644</v>
      </c>
      <c r="D496" s="19" t="str">
        <f t="shared" si="25"/>
        <v/>
      </c>
      <c r="E496" s="20" t="str">
        <f t="shared" si="23"/>
        <v/>
      </c>
      <c r="F496" s="21" t="str">
        <f t="shared" si="24"/>
        <v/>
      </c>
    </row>
    <row r="497" spans="1:6" x14ac:dyDescent="0.25">
      <c r="A497" s="19" t="s">
        <v>645</v>
      </c>
      <c r="D497" s="19" t="str">
        <f t="shared" si="25"/>
        <v/>
      </c>
      <c r="E497" s="20" t="str">
        <f t="shared" si="23"/>
        <v/>
      </c>
      <c r="F497" s="21" t="str">
        <f t="shared" si="24"/>
        <v/>
      </c>
    </row>
    <row r="498" spans="1:6" x14ac:dyDescent="0.25">
      <c r="A498" s="19" t="s">
        <v>646</v>
      </c>
      <c r="D498" s="19" t="str">
        <f t="shared" si="25"/>
        <v/>
      </c>
      <c r="E498" s="20" t="str">
        <f t="shared" si="23"/>
        <v/>
      </c>
      <c r="F498" s="21" t="str">
        <f t="shared" si="24"/>
        <v/>
      </c>
    </row>
    <row r="499" spans="1:6" x14ac:dyDescent="0.25">
      <c r="A499" s="19" t="s">
        <v>647</v>
      </c>
      <c r="D499" s="19" t="str">
        <f t="shared" si="25"/>
        <v/>
      </c>
      <c r="E499" s="20" t="str">
        <f t="shared" si="23"/>
        <v/>
      </c>
      <c r="F499" s="21" t="str">
        <f t="shared" si="24"/>
        <v/>
      </c>
    </row>
    <row r="500" spans="1:6" x14ac:dyDescent="0.25">
      <c r="A500" s="19" t="s">
        <v>648</v>
      </c>
      <c r="D500" s="19" t="str">
        <f t="shared" si="25"/>
        <v/>
      </c>
      <c r="E500" s="20" t="str">
        <f t="shared" si="23"/>
        <v/>
      </c>
      <c r="F500" s="21" t="str">
        <f t="shared" si="24"/>
        <v/>
      </c>
    </row>
    <row r="501" spans="1:6" x14ac:dyDescent="0.25">
      <c r="A501" s="19" t="s">
        <v>572</v>
      </c>
      <c r="D501" s="19" t="str">
        <f t="shared" si="25"/>
        <v/>
      </c>
      <c r="E501" s="20" t="str">
        <f t="shared" si="23"/>
        <v/>
      </c>
      <c r="F501" s="21" t="str">
        <f t="shared" si="24"/>
        <v/>
      </c>
    </row>
    <row r="502" spans="1:6" x14ac:dyDescent="0.25">
      <c r="A502" s="19" t="s">
        <v>574</v>
      </c>
      <c r="D502" s="19" t="str">
        <f t="shared" si="25"/>
        <v/>
      </c>
      <c r="E502" s="20" t="str">
        <f t="shared" si="23"/>
        <v/>
      </c>
      <c r="F502" s="21" t="str">
        <f t="shared" si="24"/>
        <v/>
      </c>
    </row>
    <row r="503" spans="1:6" x14ac:dyDescent="0.25">
      <c r="A503" s="19" t="s">
        <v>576</v>
      </c>
      <c r="D503" s="19" t="str">
        <f t="shared" si="25"/>
        <v/>
      </c>
      <c r="E503" s="20" t="str">
        <f t="shared" si="23"/>
        <v/>
      </c>
      <c r="F503" s="21" t="str">
        <f t="shared" si="24"/>
        <v/>
      </c>
    </row>
    <row r="504" spans="1:6" x14ac:dyDescent="0.25">
      <c r="A504" s="19" t="s">
        <v>649</v>
      </c>
      <c r="D504" s="19" t="str">
        <f t="shared" si="25"/>
        <v/>
      </c>
      <c r="E504" s="20" t="str">
        <f t="shared" si="23"/>
        <v/>
      </c>
      <c r="F504" s="21" t="str">
        <f t="shared" si="24"/>
        <v/>
      </c>
    </row>
    <row r="505" spans="1:6" x14ac:dyDescent="0.25">
      <c r="A505" s="19" t="s">
        <v>650</v>
      </c>
      <c r="D505" s="19" t="str">
        <f t="shared" si="25"/>
        <v/>
      </c>
      <c r="E505" s="20" t="str">
        <f t="shared" si="23"/>
        <v/>
      </c>
      <c r="F505" s="21" t="str">
        <f t="shared" si="24"/>
        <v/>
      </c>
    </row>
    <row r="506" spans="1:6" x14ac:dyDescent="0.25">
      <c r="A506" s="19" t="s">
        <v>651</v>
      </c>
      <c r="D506" s="19" t="str">
        <f t="shared" si="25"/>
        <v/>
      </c>
      <c r="E506" s="20" t="str">
        <f t="shared" si="23"/>
        <v/>
      </c>
      <c r="F506" s="21" t="str">
        <f t="shared" si="24"/>
        <v/>
      </c>
    </row>
    <row r="507" spans="1:6" x14ac:dyDescent="0.25">
      <c r="A507" s="19" t="s">
        <v>652</v>
      </c>
      <c r="D507" s="19" t="str">
        <f t="shared" si="25"/>
        <v/>
      </c>
      <c r="E507" s="20" t="str">
        <f t="shared" si="23"/>
        <v/>
      </c>
      <c r="F507" s="21" t="str">
        <f t="shared" si="24"/>
        <v/>
      </c>
    </row>
    <row r="508" spans="1:6" x14ac:dyDescent="0.25">
      <c r="A508" s="19" t="s">
        <v>577</v>
      </c>
      <c r="D508" s="19" t="str">
        <f t="shared" si="25"/>
        <v/>
      </c>
      <c r="E508" s="20" t="str">
        <f t="shared" si="23"/>
        <v/>
      </c>
      <c r="F508" s="21" t="str">
        <f t="shared" si="24"/>
        <v/>
      </c>
    </row>
    <row r="509" spans="1:6" x14ac:dyDescent="0.25">
      <c r="A509" s="19" t="s">
        <v>578</v>
      </c>
      <c r="D509" s="19" t="str">
        <f t="shared" si="25"/>
        <v/>
      </c>
      <c r="E509" s="20" t="str">
        <f t="shared" si="23"/>
        <v/>
      </c>
      <c r="F509" s="21" t="str">
        <f t="shared" si="24"/>
        <v/>
      </c>
    </row>
    <row r="510" spans="1:6" x14ac:dyDescent="0.25">
      <c r="A510" s="19" t="s">
        <v>653</v>
      </c>
      <c r="D510" s="19" t="str">
        <f t="shared" si="25"/>
        <v/>
      </c>
      <c r="E510" s="20" t="str">
        <f t="shared" si="23"/>
        <v/>
      </c>
      <c r="F510" s="21" t="str">
        <f t="shared" si="24"/>
        <v/>
      </c>
    </row>
    <row r="511" spans="1:6" x14ac:dyDescent="0.25">
      <c r="A511" s="19" t="s">
        <v>579</v>
      </c>
      <c r="D511" s="19" t="str">
        <f t="shared" si="25"/>
        <v/>
      </c>
      <c r="E511" s="20" t="str">
        <f t="shared" si="23"/>
        <v/>
      </c>
      <c r="F511" s="21" t="str">
        <f t="shared" si="24"/>
        <v/>
      </c>
    </row>
    <row r="512" spans="1:6" x14ac:dyDescent="0.25">
      <c r="A512" s="19" t="s">
        <v>654</v>
      </c>
      <c r="D512" s="19" t="str">
        <f t="shared" si="25"/>
        <v/>
      </c>
      <c r="E512" s="20" t="str">
        <f t="shared" si="23"/>
        <v/>
      </c>
      <c r="F512" s="21" t="str">
        <f t="shared" si="24"/>
        <v/>
      </c>
    </row>
    <row r="513" spans="1:6" x14ac:dyDescent="0.25">
      <c r="A513" s="19" t="s">
        <v>655</v>
      </c>
      <c r="D513" s="19" t="str">
        <f t="shared" si="25"/>
        <v/>
      </c>
      <c r="E513" s="25" t="str">
        <f t="shared" si="23"/>
        <v/>
      </c>
      <c r="F513" s="26" t="str">
        <f t="shared" si="24"/>
        <v/>
      </c>
    </row>
    <row r="514" spans="1:6" x14ac:dyDescent="0.25">
      <c r="A514" s="19" t="s">
        <v>656</v>
      </c>
    </row>
    <row r="515" spans="1:6" x14ac:dyDescent="0.25">
      <c r="A515" s="19" t="s">
        <v>657</v>
      </c>
    </row>
    <row r="516" spans="1:6" x14ac:dyDescent="0.25">
      <c r="A516" s="19" t="s">
        <v>658</v>
      </c>
    </row>
    <row r="517" spans="1:6" x14ac:dyDescent="0.25">
      <c r="A517" s="19" t="s">
        <v>659</v>
      </c>
    </row>
    <row r="518" spans="1:6" x14ac:dyDescent="0.25">
      <c r="A518" s="19" t="s">
        <v>580</v>
      </c>
    </row>
    <row r="519" spans="1:6" x14ac:dyDescent="0.25">
      <c r="A519" s="19" t="s">
        <v>581</v>
      </c>
    </row>
    <row r="520" spans="1:6" x14ac:dyDescent="0.25">
      <c r="A520" s="19" t="s">
        <v>660</v>
      </c>
    </row>
    <row r="521" spans="1:6" x14ac:dyDescent="0.25">
      <c r="A521" s="19" t="s">
        <v>661</v>
      </c>
    </row>
    <row r="522" spans="1:6" x14ac:dyDescent="0.25">
      <c r="A522" s="19" t="s">
        <v>662</v>
      </c>
    </row>
    <row r="523" spans="1:6" x14ac:dyDescent="0.25">
      <c r="A523" s="19" t="s">
        <v>663</v>
      </c>
    </row>
    <row r="524" spans="1:6" x14ac:dyDescent="0.25">
      <c r="A524" s="19" t="s">
        <v>664</v>
      </c>
    </row>
    <row r="525" spans="1:6" x14ac:dyDescent="0.25">
      <c r="A525" s="19" t="s">
        <v>665</v>
      </c>
    </row>
    <row r="526" spans="1:6" x14ac:dyDescent="0.25">
      <c r="A526" s="19" t="s">
        <v>583</v>
      </c>
    </row>
    <row r="527" spans="1:6" x14ac:dyDescent="0.25">
      <c r="A527" s="19" t="s">
        <v>666</v>
      </c>
    </row>
    <row r="528" spans="1:6" x14ac:dyDescent="0.25">
      <c r="A528" s="19" t="s">
        <v>667</v>
      </c>
    </row>
    <row r="529" spans="1:1" x14ac:dyDescent="0.25">
      <c r="A529" s="19" t="s">
        <v>668</v>
      </c>
    </row>
    <row r="530" spans="1:1" x14ac:dyDescent="0.25">
      <c r="A530" s="19" t="s">
        <v>669</v>
      </c>
    </row>
    <row r="531" spans="1:1" x14ac:dyDescent="0.25">
      <c r="A531" s="19" t="s">
        <v>670</v>
      </c>
    </row>
    <row r="532" spans="1:1" x14ac:dyDescent="0.25">
      <c r="A532" s="19" t="s">
        <v>671</v>
      </c>
    </row>
    <row r="533" spans="1:1" x14ac:dyDescent="0.25">
      <c r="A533" s="19" t="s">
        <v>672</v>
      </c>
    </row>
    <row r="534" spans="1:1" x14ac:dyDescent="0.25">
      <c r="A534" s="19" t="s">
        <v>673</v>
      </c>
    </row>
    <row r="535" spans="1:1" x14ac:dyDescent="0.25">
      <c r="A535" s="19" t="s">
        <v>674</v>
      </c>
    </row>
    <row r="536" spans="1:1" x14ac:dyDescent="0.25">
      <c r="A536" s="19" t="s">
        <v>675</v>
      </c>
    </row>
    <row r="537" spans="1:1" x14ac:dyDescent="0.25">
      <c r="A537" s="19" t="s">
        <v>676</v>
      </c>
    </row>
    <row r="538" spans="1:1" x14ac:dyDescent="0.25">
      <c r="A538" s="19" t="s">
        <v>677</v>
      </c>
    </row>
    <row r="539" spans="1:1" x14ac:dyDescent="0.25">
      <c r="A539" s="19" t="s">
        <v>678</v>
      </c>
    </row>
    <row r="540" spans="1:1" x14ac:dyDescent="0.25">
      <c r="A540" s="19" t="s">
        <v>679</v>
      </c>
    </row>
    <row r="541" spans="1:1" x14ac:dyDescent="0.25">
      <c r="A541" s="19" t="s">
        <v>680</v>
      </c>
    </row>
    <row r="542" spans="1:1" x14ac:dyDescent="0.25">
      <c r="A542" s="19" t="s">
        <v>681</v>
      </c>
    </row>
    <row r="543" spans="1:1" x14ac:dyDescent="0.25">
      <c r="A543" s="19" t="s">
        <v>682</v>
      </c>
    </row>
    <row r="544" spans="1:1" x14ac:dyDescent="0.25">
      <c r="A544" s="19" t="s">
        <v>683</v>
      </c>
    </row>
    <row r="545" spans="1:1" x14ac:dyDescent="0.25">
      <c r="A545" s="19" t="s">
        <v>684</v>
      </c>
    </row>
    <row r="546" spans="1:1" x14ac:dyDescent="0.25">
      <c r="A546" s="19" t="s">
        <v>685</v>
      </c>
    </row>
    <row r="547" spans="1:1" x14ac:dyDescent="0.25">
      <c r="A547" s="19" t="s">
        <v>686</v>
      </c>
    </row>
    <row r="548" spans="1:1" x14ac:dyDescent="0.25">
      <c r="A548" s="19" t="s">
        <v>687</v>
      </c>
    </row>
    <row r="549" spans="1:1" x14ac:dyDescent="0.25">
      <c r="A549" s="19" t="s">
        <v>688</v>
      </c>
    </row>
    <row r="550" spans="1:1" x14ac:dyDescent="0.25">
      <c r="A550" s="19" t="s">
        <v>689</v>
      </c>
    </row>
    <row r="551" spans="1:1" x14ac:dyDescent="0.25">
      <c r="A551" s="19" t="s">
        <v>690</v>
      </c>
    </row>
    <row r="552" spans="1:1" x14ac:dyDescent="0.25">
      <c r="A552" s="19" t="s">
        <v>691</v>
      </c>
    </row>
    <row r="553" spans="1:1" x14ac:dyDescent="0.25">
      <c r="A553" s="19" t="s">
        <v>692</v>
      </c>
    </row>
    <row r="554" spans="1:1" x14ac:dyDescent="0.25">
      <c r="A554" s="19" t="s">
        <v>693</v>
      </c>
    </row>
    <row r="555" spans="1:1" x14ac:dyDescent="0.25">
      <c r="A555" s="19" t="s">
        <v>694</v>
      </c>
    </row>
    <row r="556" spans="1:1" x14ac:dyDescent="0.25">
      <c r="A556" s="19" t="s">
        <v>695</v>
      </c>
    </row>
    <row r="557" spans="1:1" x14ac:dyDescent="0.25">
      <c r="A557" s="19" t="s">
        <v>584</v>
      </c>
    </row>
    <row r="558" spans="1:1" x14ac:dyDescent="0.25">
      <c r="A558" s="19" t="s">
        <v>696</v>
      </c>
    </row>
    <row r="559" spans="1:1" x14ac:dyDescent="0.25">
      <c r="A559" s="19" t="s">
        <v>697</v>
      </c>
    </row>
    <row r="560" spans="1:1" x14ac:dyDescent="0.25">
      <c r="A560" s="19" t="s">
        <v>698</v>
      </c>
    </row>
    <row r="561" spans="1:1" x14ac:dyDescent="0.25">
      <c r="A561" s="19" t="s">
        <v>585</v>
      </c>
    </row>
    <row r="562" spans="1:1" x14ac:dyDescent="0.25">
      <c r="A562" s="19" t="s">
        <v>586</v>
      </c>
    </row>
    <row r="563" spans="1:1" x14ac:dyDescent="0.25">
      <c r="A563" s="19" t="s">
        <v>699</v>
      </c>
    </row>
    <row r="564" spans="1:1" x14ac:dyDescent="0.25">
      <c r="A564" s="19" t="s">
        <v>700</v>
      </c>
    </row>
    <row r="565" spans="1:1" x14ac:dyDescent="0.25">
      <c r="A565" s="19" t="s">
        <v>701</v>
      </c>
    </row>
    <row r="566" spans="1:1" x14ac:dyDescent="0.25">
      <c r="A566" s="19" t="s">
        <v>702</v>
      </c>
    </row>
    <row r="567" spans="1:1" x14ac:dyDescent="0.25">
      <c r="A567" s="19" t="s">
        <v>703</v>
      </c>
    </row>
    <row r="568" spans="1:1" x14ac:dyDescent="0.25">
      <c r="A568" s="19" t="s">
        <v>704</v>
      </c>
    </row>
    <row r="569" spans="1:1" x14ac:dyDescent="0.25">
      <c r="A569" s="19" t="s">
        <v>705</v>
      </c>
    </row>
    <row r="570" spans="1:1" x14ac:dyDescent="0.25">
      <c r="A570" s="19" t="s">
        <v>706</v>
      </c>
    </row>
    <row r="571" spans="1:1" x14ac:dyDescent="0.25">
      <c r="A571" s="19" t="s">
        <v>707</v>
      </c>
    </row>
    <row r="572" spans="1:1" x14ac:dyDescent="0.25">
      <c r="A572" s="19" t="s">
        <v>708</v>
      </c>
    </row>
    <row r="573" spans="1:1" x14ac:dyDescent="0.25">
      <c r="A573" s="19" t="s">
        <v>709</v>
      </c>
    </row>
    <row r="574" spans="1:1" x14ac:dyDescent="0.25">
      <c r="A574" s="19" t="s">
        <v>710</v>
      </c>
    </row>
    <row r="575" spans="1:1" x14ac:dyDescent="0.25">
      <c r="A575" s="19" t="s">
        <v>711</v>
      </c>
    </row>
    <row r="576" spans="1:1" x14ac:dyDescent="0.25">
      <c r="A576" s="19" t="s">
        <v>712</v>
      </c>
    </row>
    <row r="577" spans="1:1" x14ac:dyDescent="0.25">
      <c r="A577" s="19" t="s">
        <v>713</v>
      </c>
    </row>
    <row r="578" spans="1:1" x14ac:dyDescent="0.25">
      <c r="A578" s="19" t="s">
        <v>714</v>
      </c>
    </row>
    <row r="579" spans="1:1" x14ac:dyDescent="0.25">
      <c r="A579" s="19" t="s">
        <v>715</v>
      </c>
    </row>
    <row r="580" spans="1:1" x14ac:dyDescent="0.25">
      <c r="A580" s="19" t="s">
        <v>716</v>
      </c>
    </row>
    <row r="581" spans="1:1" x14ac:dyDescent="0.25">
      <c r="A581" s="19" t="s">
        <v>717</v>
      </c>
    </row>
    <row r="582" spans="1:1" x14ac:dyDescent="0.25">
      <c r="A582" s="19" t="s">
        <v>718</v>
      </c>
    </row>
    <row r="583" spans="1:1" x14ac:dyDescent="0.25">
      <c r="A583" s="19" t="s">
        <v>719</v>
      </c>
    </row>
    <row r="584" spans="1:1" x14ac:dyDescent="0.25">
      <c r="A584" s="19" t="s">
        <v>720</v>
      </c>
    </row>
    <row r="585" spans="1:1" x14ac:dyDescent="0.25">
      <c r="A585" s="19" t="s">
        <v>721</v>
      </c>
    </row>
    <row r="586" spans="1:1" x14ac:dyDescent="0.25">
      <c r="A586" s="19" t="s">
        <v>722</v>
      </c>
    </row>
    <row r="587" spans="1:1" x14ac:dyDescent="0.25">
      <c r="A587" s="19" t="s">
        <v>723</v>
      </c>
    </row>
    <row r="588" spans="1:1" x14ac:dyDescent="0.25">
      <c r="A588" s="19" t="s">
        <v>724</v>
      </c>
    </row>
    <row r="589" spans="1:1" x14ac:dyDescent="0.25">
      <c r="A589" s="19" t="s">
        <v>725</v>
      </c>
    </row>
    <row r="590" spans="1:1" x14ac:dyDescent="0.25">
      <c r="A590" s="19" t="s">
        <v>726</v>
      </c>
    </row>
    <row r="591" spans="1:1" x14ac:dyDescent="0.25">
      <c r="A591" s="19" t="s">
        <v>727</v>
      </c>
    </row>
    <row r="592" spans="1:1" x14ac:dyDescent="0.25">
      <c r="A592" s="19" t="s">
        <v>728</v>
      </c>
    </row>
    <row r="593" spans="1:1" x14ac:dyDescent="0.25">
      <c r="A593" s="19" t="s">
        <v>729</v>
      </c>
    </row>
    <row r="594" spans="1:1" x14ac:dyDescent="0.25">
      <c r="A594" s="19" t="s">
        <v>730</v>
      </c>
    </row>
    <row r="595" spans="1:1" x14ac:dyDescent="0.25">
      <c r="A595" s="19" t="s">
        <v>731</v>
      </c>
    </row>
    <row r="596" spans="1:1" x14ac:dyDescent="0.25">
      <c r="A596" s="19" t="s">
        <v>732</v>
      </c>
    </row>
    <row r="597" spans="1:1" x14ac:dyDescent="0.25">
      <c r="A597" s="19" t="s">
        <v>733</v>
      </c>
    </row>
    <row r="598" spans="1:1" x14ac:dyDescent="0.25">
      <c r="A598" s="19" t="s">
        <v>734</v>
      </c>
    </row>
    <row r="599" spans="1:1" x14ac:dyDescent="0.25">
      <c r="A599" s="19" t="s">
        <v>735</v>
      </c>
    </row>
    <row r="600" spans="1:1" x14ac:dyDescent="0.25">
      <c r="A600" s="19" t="s">
        <v>736</v>
      </c>
    </row>
    <row r="601" spans="1:1" x14ac:dyDescent="0.25">
      <c r="A601" s="19" t="s">
        <v>737</v>
      </c>
    </row>
    <row r="602" spans="1:1" x14ac:dyDescent="0.25">
      <c r="A602" s="19" t="s">
        <v>738</v>
      </c>
    </row>
    <row r="603" spans="1:1" x14ac:dyDescent="0.25">
      <c r="A603" s="19" t="s">
        <v>739</v>
      </c>
    </row>
    <row r="604" spans="1:1" x14ac:dyDescent="0.25">
      <c r="A604" s="19" t="s">
        <v>740</v>
      </c>
    </row>
    <row r="605" spans="1:1" x14ac:dyDescent="0.25">
      <c r="A605" s="19" t="s">
        <v>741</v>
      </c>
    </row>
    <row r="606" spans="1:1" x14ac:dyDescent="0.25">
      <c r="A606" s="19" t="s">
        <v>742</v>
      </c>
    </row>
    <row r="607" spans="1:1" x14ac:dyDescent="0.25">
      <c r="A607" s="19" t="s">
        <v>743</v>
      </c>
    </row>
    <row r="608" spans="1:1" x14ac:dyDescent="0.25">
      <c r="A608" s="19" t="s">
        <v>744</v>
      </c>
    </row>
    <row r="609" spans="1:1" x14ac:dyDescent="0.25">
      <c r="A609" s="19" t="s">
        <v>745</v>
      </c>
    </row>
    <row r="610" spans="1:1" x14ac:dyDescent="0.25">
      <c r="A610" s="19" t="s">
        <v>746</v>
      </c>
    </row>
    <row r="611" spans="1:1" x14ac:dyDescent="0.25">
      <c r="A611" s="19" t="s">
        <v>747</v>
      </c>
    </row>
  </sheetData>
  <mergeCells count="2">
    <mergeCell ref="B1:C1"/>
    <mergeCell ref="E1:F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workbookViewId="0">
      <selection activeCell="E17" sqref="E17"/>
    </sheetView>
  </sheetViews>
  <sheetFormatPr defaultRowHeight="15" x14ac:dyDescent="0.25"/>
  <cols>
    <col min="1" max="1" width="25" bestFit="1" customWidth="1"/>
  </cols>
  <sheetData>
    <row r="1" spans="1:3" x14ac:dyDescent="0.25">
      <c r="A1" s="27" t="s">
        <v>748</v>
      </c>
      <c r="B1" s="30" t="s">
        <v>754</v>
      </c>
      <c r="C1" s="30" t="s">
        <v>755</v>
      </c>
    </row>
    <row r="2" spans="1:3" x14ac:dyDescent="0.25">
      <c r="A2" s="28" t="s">
        <v>749</v>
      </c>
      <c r="B2" s="31" t="str">
        <f>IF(ISNUMBER(FIND("24",$A2)), "24", IF(ISNUMBER(FIND("48",$A2)), "48", " "))</f>
        <v>24</v>
      </c>
      <c r="C2" s="31" t="str">
        <f>IF(ISNUMBER(FIND("P",A2)), "Yes", " ")</f>
        <v xml:space="preserve"> </v>
      </c>
    </row>
    <row r="3" spans="1:3" x14ac:dyDescent="0.25">
      <c r="A3" s="28" t="s">
        <v>749</v>
      </c>
      <c r="B3" s="31" t="str">
        <f t="shared" ref="B3:B9" si="0">IF(ISNUMBER(FIND("24",$A3)), "24", IF(ISNUMBER(FIND("48",$A3)), "48", " "))</f>
        <v>24</v>
      </c>
      <c r="C3" s="31" t="str">
        <f t="shared" ref="C3:C9" si="1">IF(ISNUMBER(FIND("P",A3)), "Yes", " ")</f>
        <v xml:space="preserve"> </v>
      </c>
    </row>
    <row r="4" spans="1:3" x14ac:dyDescent="0.25">
      <c r="A4" s="28" t="s">
        <v>750</v>
      </c>
      <c r="B4" s="31" t="str">
        <f t="shared" si="0"/>
        <v>48</v>
      </c>
      <c r="C4" s="31" t="str">
        <f t="shared" si="1"/>
        <v xml:space="preserve"> </v>
      </c>
    </row>
    <row r="5" spans="1:3" x14ac:dyDescent="0.25">
      <c r="A5" s="28" t="s">
        <v>751</v>
      </c>
      <c r="B5" s="31" t="str">
        <f t="shared" si="0"/>
        <v>24</v>
      </c>
      <c r="C5" s="31" t="str">
        <f t="shared" si="1"/>
        <v>Yes</v>
      </c>
    </row>
    <row r="6" spans="1:3" x14ac:dyDescent="0.25">
      <c r="A6" s="29" t="s">
        <v>752</v>
      </c>
      <c r="B6" s="31" t="str">
        <f t="shared" si="0"/>
        <v>48</v>
      </c>
      <c r="C6" s="31" t="str">
        <f t="shared" si="1"/>
        <v>Yes</v>
      </c>
    </row>
    <row r="7" spans="1:3" x14ac:dyDescent="0.25">
      <c r="A7" s="28" t="s">
        <v>753</v>
      </c>
      <c r="B7" s="31" t="str">
        <f t="shared" si="0"/>
        <v>24</v>
      </c>
      <c r="C7" s="31" t="str">
        <f t="shared" si="1"/>
        <v>Yes</v>
      </c>
    </row>
    <row r="8" spans="1:3" x14ac:dyDescent="0.25">
      <c r="A8" s="28" t="s">
        <v>753</v>
      </c>
      <c r="B8" s="31" t="str">
        <f t="shared" si="0"/>
        <v>24</v>
      </c>
      <c r="C8" s="31" t="str">
        <f t="shared" si="1"/>
        <v>Yes</v>
      </c>
    </row>
    <row r="9" spans="1:3" x14ac:dyDescent="0.25">
      <c r="A9" s="28" t="s">
        <v>753</v>
      </c>
      <c r="B9" s="31" t="str">
        <f t="shared" si="0"/>
        <v>24</v>
      </c>
      <c r="C9" s="31" t="str">
        <f t="shared" si="1"/>
        <v>Yes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0"/>
  <sheetViews>
    <sheetView tabSelected="1" workbookViewId="0">
      <selection activeCell="D8" sqref="D8"/>
    </sheetView>
  </sheetViews>
  <sheetFormatPr defaultRowHeight="15" x14ac:dyDescent="0.25"/>
  <cols>
    <col min="1" max="1" width="22.5703125" style="118" customWidth="1"/>
    <col min="2" max="2" width="21.7109375" style="119" customWidth="1"/>
    <col min="3" max="3" width="30.7109375" style="120" customWidth="1"/>
    <col min="4" max="4" width="30.5703125" style="119" customWidth="1"/>
    <col min="5" max="5" width="11.7109375" style="120" bestFit="1" customWidth="1"/>
    <col min="6" max="6" width="34.140625" style="120" customWidth="1"/>
    <col min="7" max="9" width="9.140625" style="109"/>
  </cols>
  <sheetData>
    <row r="1" spans="1:6" ht="42.75" x14ac:dyDescent="0.25">
      <c r="A1" s="106" t="s">
        <v>1053</v>
      </c>
      <c r="B1" s="107" t="s">
        <v>1054</v>
      </c>
      <c r="C1" s="108" t="s">
        <v>1055</v>
      </c>
      <c r="D1" s="107" t="s">
        <v>1056</v>
      </c>
      <c r="E1" s="108" t="s">
        <v>1057</v>
      </c>
      <c r="F1" s="108" t="s">
        <v>1058</v>
      </c>
    </row>
    <row r="2" spans="1:6" x14ac:dyDescent="0.25">
      <c r="A2" s="110">
        <v>4410</v>
      </c>
      <c r="B2" s="110">
        <v>72974820</v>
      </c>
      <c r="C2" s="111" t="str">
        <f>IF(ISNA(VLOOKUP(B2,$A$1:$A$1000,1,FALSE)),"","Yes")</f>
        <v>Yes</v>
      </c>
      <c r="D2" s="112" t="s">
        <v>1059</v>
      </c>
      <c r="E2" s="113" t="str">
        <f>IFERROR(MATCH(A2,$D$2:$D$1000,),"")</f>
        <v/>
      </c>
      <c r="F2" s="111" t="str">
        <f>IF(E2&lt;&gt;"",INDEX($D$2:$D$1000,E2,1),"")</f>
        <v/>
      </c>
    </row>
    <row r="3" spans="1:6" x14ac:dyDescent="0.25">
      <c r="A3" s="110">
        <v>32940316</v>
      </c>
      <c r="B3" s="110">
        <v>73003340</v>
      </c>
      <c r="C3" s="111" t="str">
        <f>IF(ISNA(VLOOKUP(B3,$A$1:$A$1000,1,FALSE)),"","Yes")</f>
        <v>Yes</v>
      </c>
      <c r="D3" s="112" t="s">
        <v>1060</v>
      </c>
      <c r="E3" s="113" t="str">
        <f t="shared" ref="E3:E66" si="0">IFERROR(MATCH(A3,$D$2:$D$1000,),"")</f>
        <v/>
      </c>
      <c r="F3" s="111" t="str">
        <f t="shared" ref="F3:F66" si="1">IF(E3&lt;&gt;"",INDEX($D$2:$D$1000,E3,1),"")</f>
        <v/>
      </c>
    </row>
    <row r="4" spans="1:6" x14ac:dyDescent="0.25">
      <c r="A4" s="110">
        <v>72698878</v>
      </c>
      <c r="B4" s="110" t="s">
        <v>1061</v>
      </c>
      <c r="C4" s="111" t="str">
        <f>IF(ISNA(VLOOKUP(B4,$A$1:$A$1000,1,FALSE)),"","Yes")</f>
        <v/>
      </c>
      <c r="D4" s="112" t="s">
        <v>1062</v>
      </c>
      <c r="E4" s="113" t="str">
        <f t="shared" si="0"/>
        <v/>
      </c>
      <c r="F4" s="111" t="str">
        <f t="shared" si="1"/>
        <v/>
      </c>
    </row>
    <row r="5" spans="1:6" x14ac:dyDescent="0.25">
      <c r="A5" s="110">
        <v>72920060</v>
      </c>
      <c r="B5" s="110" t="s">
        <v>758</v>
      </c>
      <c r="C5" s="111" t="str">
        <f>IF(ISNA(VLOOKUP(B5,$A$1:$A$1000,1,FALSE)),"","Yes")</f>
        <v>Yes</v>
      </c>
      <c r="D5" s="112" t="s">
        <v>756</v>
      </c>
      <c r="E5" s="113" t="str">
        <f t="shared" si="0"/>
        <v/>
      </c>
      <c r="F5" s="111" t="str">
        <f t="shared" si="1"/>
        <v/>
      </c>
    </row>
    <row r="6" spans="1:6" x14ac:dyDescent="0.25">
      <c r="A6" s="110">
        <v>72942373</v>
      </c>
      <c r="B6" s="110" t="s">
        <v>760</v>
      </c>
      <c r="C6" s="111" t="str">
        <f>IF(ISNA(VLOOKUP(B6,$A$1:$A$1000,1,FALSE)),"","Yes")</f>
        <v>Yes</v>
      </c>
      <c r="D6" s="110" t="s">
        <v>758</v>
      </c>
      <c r="E6" s="113" t="str">
        <f t="shared" si="0"/>
        <v/>
      </c>
      <c r="F6" s="111" t="str">
        <f t="shared" si="1"/>
        <v/>
      </c>
    </row>
    <row r="7" spans="1:6" x14ac:dyDescent="0.25">
      <c r="A7" s="110">
        <v>72947231</v>
      </c>
      <c r="B7" s="112"/>
      <c r="C7" s="111" t="str">
        <f>IF(ISNA(VLOOKUP(B7,$A$1:$A$1000,1,FALSE)),"","Yes")</f>
        <v/>
      </c>
      <c r="D7" s="112" t="s">
        <v>757</v>
      </c>
      <c r="E7" s="113" t="str">
        <f t="shared" si="0"/>
        <v/>
      </c>
      <c r="F7" s="111" t="str">
        <f t="shared" si="1"/>
        <v/>
      </c>
    </row>
    <row r="8" spans="1:6" x14ac:dyDescent="0.25">
      <c r="A8" s="110">
        <v>72974820</v>
      </c>
      <c r="B8" s="112"/>
      <c r="C8" s="111" t="str">
        <f>IF(ISNA(VLOOKUP(B8,$A$1:$A$1000,1,FALSE)),"","Yes")</f>
        <v/>
      </c>
      <c r="D8" s="112"/>
      <c r="E8" s="113" t="str">
        <f t="shared" si="0"/>
        <v/>
      </c>
      <c r="F8" s="111" t="str">
        <f t="shared" si="1"/>
        <v/>
      </c>
    </row>
    <row r="9" spans="1:6" x14ac:dyDescent="0.25">
      <c r="A9" s="110">
        <v>73003340</v>
      </c>
      <c r="B9" s="112"/>
      <c r="C9" s="111" t="str">
        <f>IF(ISNA(VLOOKUP(B9,$A$1:$A$1000,1,FALSE)),"","Yes")</f>
        <v/>
      </c>
      <c r="D9" s="112" t="s">
        <v>1063</v>
      </c>
      <c r="E9" s="113" t="str">
        <f t="shared" si="0"/>
        <v/>
      </c>
      <c r="F9" s="111" t="str">
        <f t="shared" si="1"/>
        <v/>
      </c>
    </row>
    <row r="10" spans="1:6" x14ac:dyDescent="0.25">
      <c r="A10" s="110">
        <v>76022699</v>
      </c>
      <c r="B10" s="114"/>
      <c r="C10" s="111" t="str">
        <f t="shared" ref="C10:C73" si="2">IF(ISNA(VLOOKUP(B10,$A$1:$A$1000,1,FALSE)),"","Yes")</f>
        <v/>
      </c>
      <c r="D10" s="115"/>
      <c r="E10" s="113" t="str">
        <f t="shared" si="0"/>
        <v/>
      </c>
      <c r="F10" s="111" t="str">
        <f t="shared" si="1"/>
        <v/>
      </c>
    </row>
    <row r="11" spans="1:6" x14ac:dyDescent="0.25">
      <c r="A11" s="110" t="s">
        <v>758</v>
      </c>
      <c r="B11" s="114"/>
      <c r="C11" s="111" t="str">
        <f t="shared" si="2"/>
        <v/>
      </c>
      <c r="D11" s="115"/>
      <c r="E11" s="113">
        <f t="shared" si="0"/>
        <v>5</v>
      </c>
      <c r="F11" s="111" t="str">
        <f t="shared" si="1"/>
        <v>43207000847P</v>
      </c>
    </row>
    <row r="12" spans="1:6" x14ac:dyDescent="0.25">
      <c r="A12" s="110" t="s">
        <v>760</v>
      </c>
      <c r="B12" s="114"/>
      <c r="C12" s="111" t="str">
        <f t="shared" si="2"/>
        <v/>
      </c>
      <c r="D12" s="115"/>
      <c r="E12" s="113" t="str">
        <f t="shared" si="0"/>
        <v/>
      </c>
      <c r="F12" s="111" t="str">
        <f t="shared" si="1"/>
        <v/>
      </c>
    </row>
    <row r="13" spans="1:6" x14ac:dyDescent="0.25">
      <c r="A13" s="110" t="s">
        <v>759</v>
      </c>
      <c r="B13" s="114"/>
      <c r="C13" s="111" t="str">
        <f t="shared" si="2"/>
        <v/>
      </c>
      <c r="D13" s="112"/>
      <c r="E13" s="113" t="str">
        <f t="shared" si="0"/>
        <v/>
      </c>
      <c r="F13" s="111" t="str">
        <f t="shared" si="1"/>
        <v/>
      </c>
    </row>
    <row r="14" spans="1:6" x14ac:dyDescent="0.25">
      <c r="A14" s="110" t="s">
        <v>761</v>
      </c>
      <c r="B14" s="114"/>
      <c r="C14" s="111" t="str">
        <f t="shared" si="2"/>
        <v/>
      </c>
      <c r="D14" s="112"/>
      <c r="E14" s="113" t="str">
        <f t="shared" si="0"/>
        <v/>
      </c>
      <c r="F14" s="111" t="str">
        <f t="shared" si="1"/>
        <v/>
      </c>
    </row>
    <row r="15" spans="1:6" x14ac:dyDescent="0.25">
      <c r="A15" s="110" t="s">
        <v>762</v>
      </c>
      <c r="B15" s="114"/>
      <c r="C15" s="111" t="str">
        <f t="shared" si="2"/>
        <v/>
      </c>
      <c r="D15" s="112"/>
      <c r="E15" s="113" t="str">
        <f t="shared" si="0"/>
        <v/>
      </c>
      <c r="F15" s="111" t="str">
        <f t="shared" si="1"/>
        <v/>
      </c>
    </row>
    <row r="16" spans="1:6" x14ac:dyDescent="0.25">
      <c r="A16" s="110" t="s">
        <v>763</v>
      </c>
      <c r="B16" s="114"/>
      <c r="C16" s="111" t="str">
        <f t="shared" si="2"/>
        <v/>
      </c>
      <c r="D16" s="112"/>
      <c r="E16" s="113" t="str">
        <f t="shared" si="0"/>
        <v/>
      </c>
      <c r="F16" s="111" t="str">
        <f t="shared" si="1"/>
        <v/>
      </c>
    </row>
    <row r="17" spans="1:6" x14ac:dyDescent="0.25">
      <c r="A17" s="110" t="s">
        <v>764</v>
      </c>
      <c r="B17" s="114"/>
      <c r="C17" s="111" t="str">
        <f t="shared" si="2"/>
        <v/>
      </c>
      <c r="D17" s="112"/>
      <c r="E17" s="113" t="str">
        <f t="shared" si="0"/>
        <v/>
      </c>
      <c r="F17" s="111" t="str">
        <f t="shared" si="1"/>
        <v/>
      </c>
    </row>
    <row r="18" spans="1:6" x14ac:dyDescent="0.25">
      <c r="A18" s="116" t="s">
        <v>765</v>
      </c>
      <c r="B18" s="114"/>
      <c r="C18" s="111" t="str">
        <f t="shared" si="2"/>
        <v/>
      </c>
      <c r="D18" s="112"/>
      <c r="E18" s="113" t="str">
        <f t="shared" si="0"/>
        <v/>
      </c>
      <c r="F18" s="111" t="str">
        <f t="shared" si="1"/>
        <v/>
      </c>
    </row>
    <row r="19" spans="1:6" x14ac:dyDescent="0.25">
      <c r="A19" s="116" t="s">
        <v>766</v>
      </c>
      <c r="B19" s="114"/>
      <c r="C19" s="111" t="str">
        <f t="shared" si="2"/>
        <v/>
      </c>
      <c r="D19" s="112"/>
      <c r="E19" s="113" t="str">
        <f t="shared" si="0"/>
        <v/>
      </c>
      <c r="F19" s="111" t="str">
        <f t="shared" si="1"/>
        <v/>
      </c>
    </row>
    <row r="20" spans="1:6" x14ac:dyDescent="0.25">
      <c r="A20" s="116" t="s">
        <v>1064</v>
      </c>
      <c r="B20" s="114"/>
      <c r="C20" s="111" t="str">
        <f t="shared" si="2"/>
        <v/>
      </c>
      <c r="D20" s="112"/>
      <c r="E20" s="113" t="str">
        <f t="shared" si="0"/>
        <v/>
      </c>
      <c r="F20" s="111" t="str">
        <f t="shared" si="1"/>
        <v/>
      </c>
    </row>
    <row r="21" spans="1:6" x14ac:dyDescent="0.25">
      <c r="A21" s="116" t="s">
        <v>1065</v>
      </c>
      <c r="B21" s="114"/>
      <c r="C21" s="111" t="str">
        <f t="shared" si="2"/>
        <v/>
      </c>
      <c r="D21" s="115"/>
      <c r="E21" s="113" t="str">
        <f t="shared" si="0"/>
        <v/>
      </c>
      <c r="F21" s="111" t="str">
        <f t="shared" si="1"/>
        <v/>
      </c>
    </row>
    <row r="22" spans="1:6" x14ac:dyDescent="0.25">
      <c r="A22" s="116" t="s">
        <v>1066</v>
      </c>
      <c r="B22" s="114"/>
      <c r="C22" s="111" t="str">
        <f t="shared" si="2"/>
        <v/>
      </c>
      <c r="D22" s="115"/>
      <c r="E22" s="113" t="str">
        <f t="shared" si="0"/>
        <v/>
      </c>
      <c r="F22" s="111" t="str">
        <f t="shared" si="1"/>
        <v/>
      </c>
    </row>
    <row r="23" spans="1:6" x14ac:dyDescent="0.25">
      <c r="A23" s="116" t="s">
        <v>1067</v>
      </c>
      <c r="B23" s="114"/>
      <c r="C23" s="111" t="str">
        <f t="shared" si="2"/>
        <v/>
      </c>
      <c r="D23" s="115"/>
      <c r="E23" s="113" t="str">
        <f t="shared" si="0"/>
        <v/>
      </c>
      <c r="F23" s="111" t="str">
        <f t="shared" si="1"/>
        <v/>
      </c>
    </row>
    <row r="24" spans="1:6" x14ac:dyDescent="0.25">
      <c r="A24" s="116" t="s">
        <v>1068</v>
      </c>
      <c r="B24" s="114"/>
      <c r="C24" s="111" t="str">
        <f t="shared" si="2"/>
        <v/>
      </c>
      <c r="D24" s="115"/>
      <c r="E24" s="113" t="str">
        <f t="shared" si="0"/>
        <v/>
      </c>
      <c r="F24" s="111" t="str">
        <f t="shared" si="1"/>
        <v/>
      </c>
    </row>
    <row r="25" spans="1:6" x14ac:dyDescent="0.25">
      <c r="A25" s="116" t="s">
        <v>1069</v>
      </c>
      <c r="B25" s="114"/>
      <c r="C25" s="111" t="str">
        <f t="shared" si="2"/>
        <v/>
      </c>
      <c r="D25" s="115"/>
      <c r="E25" s="113" t="str">
        <f t="shared" si="0"/>
        <v/>
      </c>
      <c r="F25" s="111" t="str">
        <f t="shared" si="1"/>
        <v/>
      </c>
    </row>
    <row r="26" spans="1:6" x14ac:dyDescent="0.25">
      <c r="A26" s="116" t="s">
        <v>1070</v>
      </c>
      <c r="B26" s="114"/>
      <c r="C26" s="111" t="str">
        <f t="shared" si="2"/>
        <v/>
      </c>
      <c r="D26" s="115"/>
      <c r="E26" s="113" t="str">
        <f t="shared" si="0"/>
        <v/>
      </c>
      <c r="F26" s="111" t="str">
        <f t="shared" si="1"/>
        <v/>
      </c>
    </row>
    <row r="27" spans="1:6" x14ac:dyDescent="0.25">
      <c r="A27" s="116" t="s">
        <v>1071</v>
      </c>
      <c r="B27" s="114"/>
      <c r="C27" s="111" t="str">
        <f t="shared" si="2"/>
        <v/>
      </c>
      <c r="D27" s="115"/>
      <c r="E27" s="113" t="str">
        <f t="shared" si="0"/>
        <v/>
      </c>
      <c r="F27" s="111" t="str">
        <f t="shared" si="1"/>
        <v/>
      </c>
    </row>
    <row r="28" spans="1:6" x14ac:dyDescent="0.25">
      <c r="A28" s="116" t="s">
        <v>1072</v>
      </c>
      <c r="B28" s="114"/>
      <c r="C28" s="111" t="str">
        <f t="shared" si="2"/>
        <v/>
      </c>
      <c r="D28" s="115"/>
      <c r="E28" s="113" t="str">
        <f t="shared" si="0"/>
        <v/>
      </c>
      <c r="F28" s="111" t="str">
        <f t="shared" si="1"/>
        <v/>
      </c>
    </row>
    <row r="29" spans="1:6" x14ac:dyDescent="0.25">
      <c r="A29" s="116" t="s">
        <v>1073</v>
      </c>
      <c r="B29" s="114"/>
      <c r="C29" s="111" t="str">
        <f t="shared" si="2"/>
        <v/>
      </c>
      <c r="D29" s="115"/>
      <c r="E29" s="113" t="str">
        <f t="shared" si="0"/>
        <v/>
      </c>
      <c r="F29" s="111" t="str">
        <f t="shared" si="1"/>
        <v/>
      </c>
    </row>
    <row r="30" spans="1:6" x14ac:dyDescent="0.25">
      <c r="A30" s="116" t="s">
        <v>1074</v>
      </c>
      <c r="B30" s="114"/>
      <c r="C30" s="111" t="str">
        <f t="shared" si="2"/>
        <v/>
      </c>
      <c r="D30" s="115"/>
      <c r="E30" s="113" t="str">
        <f t="shared" si="0"/>
        <v/>
      </c>
      <c r="F30" s="111" t="str">
        <f t="shared" si="1"/>
        <v/>
      </c>
    </row>
    <row r="31" spans="1:6" x14ac:dyDescent="0.25">
      <c r="A31" s="116" t="s">
        <v>1075</v>
      </c>
      <c r="B31" s="114"/>
      <c r="C31" s="111" t="str">
        <f t="shared" si="2"/>
        <v/>
      </c>
      <c r="D31" s="115"/>
      <c r="E31" s="113" t="str">
        <f t="shared" si="0"/>
        <v/>
      </c>
      <c r="F31" s="111" t="str">
        <f t="shared" si="1"/>
        <v/>
      </c>
    </row>
    <row r="32" spans="1:6" x14ac:dyDescent="0.25">
      <c r="A32" s="116" t="s">
        <v>1076</v>
      </c>
      <c r="B32" s="114"/>
      <c r="C32" s="111" t="str">
        <f t="shared" si="2"/>
        <v/>
      </c>
      <c r="D32" s="115"/>
      <c r="E32" s="113" t="str">
        <f t="shared" si="0"/>
        <v/>
      </c>
      <c r="F32" s="111" t="str">
        <f t="shared" si="1"/>
        <v/>
      </c>
    </row>
    <row r="33" spans="1:6" x14ac:dyDescent="0.25">
      <c r="A33" s="116" t="s">
        <v>1077</v>
      </c>
      <c r="B33" s="114"/>
      <c r="C33" s="111" t="str">
        <f t="shared" si="2"/>
        <v/>
      </c>
      <c r="D33" s="115"/>
      <c r="E33" s="113" t="str">
        <f t="shared" si="0"/>
        <v/>
      </c>
      <c r="F33" s="111" t="str">
        <f t="shared" si="1"/>
        <v/>
      </c>
    </row>
    <row r="34" spans="1:6" x14ac:dyDescent="0.25">
      <c r="A34" s="116" t="s">
        <v>1078</v>
      </c>
      <c r="B34" s="114"/>
      <c r="C34" s="111" t="str">
        <f t="shared" si="2"/>
        <v/>
      </c>
      <c r="D34" s="115"/>
      <c r="E34" s="113" t="str">
        <f t="shared" si="0"/>
        <v/>
      </c>
      <c r="F34" s="111" t="str">
        <f t="shared" si="1"/>
        <v/>
      </c>
    </row>
    <row r="35" spans="1:6" x14ac:dyDescent="0.25">
      <c r="A35" s="116" t="s">
        <v>1079</v>
      </c>
      <c r="B35" s="114"/>
      <c r="C35" s="111" t="str">
        <f t="shared" si="2"/>
        <v/>
      </c>
      <c r="D35" s="115"/>
      <c r="E35" s="113" t="str">
        <f t="shared" si="0"/>
        <v/>
      </c>
      <c r="F35" s="111" t="str">
        <f t="shared" si="1"/>
        <v/>
      </c>
    </row>
    <row r="36" spans="1:6" x14ac:dyDescent="0.25">
      <c r="A36" s="116" t="s">
        <v>1080</v>
      </c>
      <c r="B36" s="114"/>
      <c r="C36" s="111" t="str">
        <f t="shared" si="2"/>
        <v/>
      </c>
      <c r="D36" s="115"/>
      <c r="E36" s="113" t="str">
        <f t="shared" si="0"/>
        <v/>
      </c>
      <c r="F36" s="111" t="str">
        <f t="shared" si="1"/>
        <v/>
      </c>
    </row>
    <row r="37" spans="1:6" x14ac:dyDescent="0.25">
      <c r="A37" s="116" t="s">
        <v>1081</v>
      </c>
      <c r="B37" s="114"/>
      <c r="C37" s="111" t="str">
        <f t="shared" si="2"/>
        <v/>
      </c>
      <c r="D37" s="115"/>
      <c r="E37" s="113" t="str">
        <f t="shared" si="0"/>
        <v/>
      </c>
      <c r="F37" s="111" t="str">
        <f t="shared" si="1"/>
        <v/>
      </c>
    </row>
    <row r="38" spans="1:6" x14ac:dyDescent="0.25">
      <c r="A38" s="116" t="s">
        <v>1082</v>
      </c>
      <c r="B38" s="114"/>
      <c r="C38" s="111" t="str">
        <f t="shared" si="2"/>
        <v/>
      </c>
      <c r="D38" s="115"/>
      <c r="E38" s="113" t="str">
        <f t="shared" si="0"/>
        <v/>
      </c>
      <c r="F38" s="111" t="str">
        <f t="shared" si="1"/>
        <v/>
      </c>
    </row>
    <row r="39" spans="1:6" x14ac:dyDescent="0.25">
      <c r="A39" s="116" t="s">
        <v>1083</v>
      </c>
      <c r="B39" s="114"/>
      <c r="C39" s="111" t="str">
        <f t="shared" si="2"/>
        <v/>
      </c>
      <c r="D39" s="115"/>
      <c r="E39" s="113" t="str">
        <f t="shared" si="0"/>
        <v/>
      </c>
      <c r="F39" s="111" t="str">
        <f t="shared" si="1"/>
        <v/>
      </c>
    </row>
    <row r="40" spans="1:6" x14ac:dyDescent="0.25">
      <c r="A40" s="116" t="s">
        <v>1084</v>
      </c>
      <c r="B40" s="114"/>
      <c r="C40" s="111" t="str">
        <f t="shared" si="2"/>
        <v/>
      </c>
      <c r="D40" s="115"/>
      <c r="E40" s="113" t="str">
        <f t="shared" si="0"/>
        <v/>
      </c>
      <c r="F40" s="111" t="str">
        <f t="shared" si="1"/>
        <v/>
      </c>
    </row>
    <row r="41" spans="1:6" x14ac:dyDescent="0.25">
      <c r="A41" s="116" t="s">
        <v>1085</v>
      </c>
      <c r="B41" s="114"/>
      <c r="C41" s="111" t="str">
        <f t="shared" si="2"/>
        <v/>
      </c>
      <c r="D41" s="115"/>
      <c r="E41" s="113" t="str">
        <f t="shared" si="0"/>
        <v/>
      </c>
      <c r="F41" s="111" t="str">
        <f t="shared" si="1"/>
        <v/>
      </c>
    </row>
    <row r="42" spans="1:6" x14ac:dyDescent="0.25">
      <c r="A42" s="116" t="s">
        <v>1086</v>
      </c>
      <c r="B42" s="114"/>
      <c r="C42" s="111" t="str">
        <f t="shared" si="2"/>
        <v/>
      </c>
      <c r="D42" s="115"/>
      <c r="E42" s="113" t="str">
        <f t="shared" si="0"/>
        <v/>
      </c>
      <c r="F42" s="111" t="str">
        <f t="shared" si="1"/>
        <v/>
      </c>
    </row>
    <row r="43" spans="1:6" x14ac:dyDescent="0.25">
      <c r="A43" s="116" t="s">
        <v>1087</v>
      </c>
      <c r="B43" s="114"/>
      <c r="C43" s="111" t="str">
        <f t="shared" si="2"/>
        <v/>
      </c>
      <c r="D43" s="115"/>
      <c r="E43" s="113" t="str">
        <f t="shared" si="0"/>
        <v/>
      </c>
      <c r="F43" s="111" t="str">
        <f t="shared" si="1"/>
        <v/>
      </c>
    </row>
    <row r="44" spans="1:6" x14ac:dyDescent="0.25">
      <c r="A44" s="116" t="s">
        <v>1088</v>
      </c>
      <c r="B44" s="114"/>
      <c r="C44" s="111" t="str">
        <f t="shared" si="2"/>
        <v/>
      </c>
      <c r="D44" s="115"/>
      <c r="E44" s="113" t="str">
        <f t="shared" si="0"/>
        <v/>
      </c>
      <c r="F44" s="111" t="str">
        <f t="shared" si="1"/>
        <v/>
      </c>
    </row>
    <row r="45" spans="1:6" x14ac:dyDescent="0.25">
      <c r="A45" s="116" t="s">
        <v>1089</v>
      </c>
      <c r="B45" s="114"/>
      <c r="C45" s="111" t="str">
        <f t="shared" si="2"/>
        <v/>
      </c>
      <c r="D45" s="115"/>
      <c r="E45" s="113" t="str">
        <f t="shared" si="0"/>
        <v/>
      </c>
      <c r="F45" s="111" t="str">
        <f t="shared" si="1"/>
        <v/>
      </c>
    </row>
    <row r="46" spans="1:6" x14ac:dyDescent="0.25">
      <c r="A46" s="116" t="s">
        <v>1090</v>
      </c>
      <c r="B46" s="114"/>
      <c r="C46" s="111" t="str">
        <f t="shared" si="2"/>
        <v/>
      </c>
      <c r="D46" s="115"/>
      <c r="E46" s="113" t="str">
        <f t="shared" si="0"/>
        <v/>
      </c>
      <c r="F46" s="111" t="str">
        <f t="shared" si="1"/>
        <v/>
      </c>
    </row>
    <row r="47" spans="1:6" x14ac:dyDescent="0.25">
      <c r="A47" s="116" t="s">
        <v>1091</v>
      </c>
      <c r="B47" s="114"/>
      <c r="C47" s="111" t="str">
        <f t="shared" si="2"/>
        <v/>
      </c>
      <c r="D47" s="115"/>
      <c r="E47" s="113" t="str">
        <f t="shared" si="0"/>
        <v/>
      </c>
      <c r="F47" s="111" t="str">
        <f t="shared" si="1"/>
        <v/>
      </c>
    </row>
    <row r="48" spans="1:6" x14ac:dyDescent="0.25">
      <c r="A48" s="116" t="s">
        <v>1092</v>
      </c>
      <c r="B48" s="114"/>
      <c r="C48" s="111" t="str">
        <f t="shared" si="2"/>
        <v/>
      </c>
      <c r="D48" s="115"/>
      <c r="E48" s="113" t="str">
        <f t="shared" si="0"/>
        <v/>
      </c>
      <c r="F48" s="111" t="str">
        <f t="shared" si="1"/>
        <v/>
      </c>
    </row>
    <row r="49" spans="1:6" x14ac:dyDescent="0.25">
      <c r="A49" s="116" t="s">
        <v>1093</v>
      </c>
      <c r="B49" s="114"/>
      <c r="C49" s="111" t="str">
        <f t="shared" si="2"/>
        <v/>
      </c>
      <c r="D49" s="115"/>
      <c r="E49" s="113" t="str">
        <f t="shared" si="0"/>
        <v/>
      </c>
      <c r="F49" s="111" t="str">
        <f t="shared" si="1"/>
        <v/>
      </c>
    </row>
    <row r="50" spans="1:6" x14ac:dyDescent="0.25">
      <c r="A50" s="116" t="s">
        <v>1094</v>
      </c>
      <c r="B50" s="114"/>
      <c r="C50" s="111" t="str">
        <f t="shared" si="2"/>
        <v/>
      </c>
      <c r="D50" s="115"/>
      <c r="E50" s="113" t="str">
        <f t="shared" si="0"/>
        <v/>
      </c>
      <c r="F50" s="111" t="str">
        <f t="shared" si="1"/>
        <v/>
      </c>
    </row>
    <row r="51" spans="1:6" x14ac:dyDescent="0.25">
      <c r="A51" s="116" t="s">
        <v>1095</v>
      </c>
      <c r="B51" s="114"/>
      <c r="C51" s="111" t="str">
        <f t="shared" si="2"/>
        <v/>
      </c>
      <c r="D51" s="115"/>
      <c r="E51" s="113" t="str">
        <f t="shared" si="0"/>
        <v/>
      </c>
      <c r="F51" s="111" t="str">
        <f t="shared" si="1"/>
        <v/>
      </c>
    </row>
    <row r="52" spans="1:6" x14ac:dyDescent="0.25">
      <c r="A52" s="116" t="s">
        <v>767</v>
      </c>
      <c r="B52" s="114"/>
      <c r="C52" s="111" t="str">
        <f t="shared" si="2"/>
        <v/>
      </c>
      <c r="D52" s="115"/>
      <c r="E52" s="113" t="str">
        <f t="shared" si="0"/>
        <v/>
      </c>
      <c r="F52" s="111" t="str">
        <f t="shared" si="1"/>
        <v/>
      </c>
    </row>
    <row r="53" spans="1:6" x14ac:dyDescent="0.25">
      <c r="A53" s="116" t="s">
        <v>768</v>
      </c>
      <c r="B53" s="114"/>
      <c r="C53" s="111" t="str">
        <f t="shared" si="2"/>
        <v/>
      </c>
      <c r="D53" s="115"/>
      <c r="E53" s="113" t="str">
        <f t="shared" si="0"/>
        <v/>
      </c>
      <c r="F53" s="111" t="str">
        <f t="shared" si="1"/>
        <v/>
      </c>
    </row>
    <row r="54" spans="1:6" x14ac:dyDescent="0.25">
      <c r="A54" s="116" t="s">
        <v>769</v>
      </c>
      <c r="B54" s="114"/>
      <c r="C54" s="111" t="str">
        <f t="shared" si="2"/>
        <v/>
      </c>
      <c r="D54" s="115"/>
      <c r="E54" s="113" t="str">
        <f t="shared" si="0"/>
        <v/>
      </c>
      <c r="F54" s="111" t="str">
        <f t="shared" si="1"/>
        <v/>
      </c>
    </row>
    <row r="55" spans="1:6" x14ac:dyDescent="0.25">
      <c r="A55" s="116" t="s">
        <v>770</v>
      </c>
      <c r="B55" s="114"/>
      <c r="C55" s="111" t="str">
        <f t="shared" si="2"/>
        <v/>
      </c>
      <c r="D55" s="115"/>
      <c r="E55" s="113" t="str">
        <f t="shared" si="0"/>
        <v/>
      </c>
      <c r="F55" s="111" t="str">
        <f t="shared" si="1"/>
        <v/>
      </c>
    </row>
    <row r="56" spans="1:6" x14ac:dyDescent="0.25">
      <c r="A56" s="116" t="s">
        <v>771</v>
      </c>
      <c r="B56" s="114"/>
      <c r="C56" s="111" t="str">
        <f t="shared" si="2"/>
        <v/>
      </c>
      <c r="D56" s="115"/>
      <c r="E56" s="113" t="str">
        <f t="shared" si="0"/>
        <v/>
      </c>
      <c r="F56" s="111" t="str">
        <f t="shared" si="1"/>
        <v/>
      </c>
    </row>
    <row r="57" spans="1:6" x14ac:dyDescent="0.25">
      <c r="A57" s="116" t="s">
        <v>1096</v>
      </c>
      <c r="B57" s="114"/>
      <c r="C57" s="111" t="str">
        <f t="shared" si="2"/>
        <v/>
      </c>
      <c r="D57" s="115"/>
      <c r="E57" s="113" t="str">
        <f t="shared" si="0"/>
        <v/>
      </c>
      <c r="F57" s="111" t="str">
        <f t="shared" si="1"/>
        <v/>
      </c>
    </row>
    <row r="58" spans="1:6" x14ac:dyDescent="0.25">
      <c r="A58" s="116" t="s">
        <v>1097</v>
      </c>
      <c r="B58" s="114"/>
      <c r="C58" s="111" t="str">
        <f t="shared" si="2"/>
        <v/>
      </c>
      <c r="D58" s="115"/>
      <c r="E58" s="113" t="str">
        <f t="shared" si="0"/>
        <v/>
      </c>
      <c r="F58" s="111" t="str">
        <f t="shared" si="1"/>
        <v/>
      </c>
    </row>
    <row r="59" spans="1:6" x14ac:dyDescent="0.25">
      <c r="A59" s="116" t="s">
        <v>1098</v>
      </c>
      <c r="B59" s="114"/>
      <c r="C59" s="111" t="str">
        <f t="shared" si="2"/>
        <v/>
      </c>
      <c r="D59" s="115"/>
      <c r="E59" s="113" t="str">
        <f t="shared" si="0"/>
        <v/>
      </c>
      <c r="F59" s="111" t="str">
        <f t="shared" si="1"/>
        <v/>
      </c>
    </row>
    <row r="60" spans="1:6" x14ac:dyDescent="0.25">
      <c r="A60" s="116" t="s">
        <v>1099</v>
      </c>
      <c r="B60" s="114"/>
      <c r="C60" s="111" t="str">
        <f t="shared" si="2"/>
        <v/>
      </c>
      <c r="D60" s="115"/>
      <c r="E60" s="113" t="str">
        <f t="shared" si="0"/>
        <v/>
      </c>
      <c r="F60" s="111" t="str">
        <f t="shared" si="1"/>
        <v/>
      </c>
    </row>
    <row r="61" spans="1:6" x14ac:dyDescent="0.25">
      <c r="A61" s="116" t="s">
        <v>1100</v>
      </c>
      <c r="B61" s="114"/>
      <c r="C61" s="111" t="str">
        <f t="shared" si="2"/>
        <v/>
      </c>
      <c r="D61" s="115"/>
      <c r="E61" s="113" t="str">
        <f t="shared" si="0"/>
        <v/>
      </c>
      <c r="F61" s="111" t="str">
        <f t="shared" si="1"/>
        <v/>
      </c>
    </row>
    <row r="62" spans="1:6" x14ac:dyDescent="0.25">
      <c r="A62" s="116" t="s">
        <v>1101</v>
      </c>
      <c r="B62" s="114"/>
      <c r="C62" s="111" t="str">
        <f t="shared" si="2"/>
        <v/>
      </c>
      <c r="D62" s="115"/>
      <c r="E62" s="113" t="str">
        <f t="shared" si="0"/>
        <v/>
      </c>
      <c r="F62" s="111" t="str">
        <f t="shared" si="1"/>
        <v/>
      </c>
    </row>
    <row r="63" spans="1:6" x14ac:dyDescent="0.25">
      <c r="A63" s="116" t="s">
        <v>1102</v>
      </c>
      <c r="B63" s="114"/>
      <c r="C63" s="111" t="str">
        <f t="shared" si="2"/>
        <v/>
      </c>
      <c r="D63" s="115"/>
      <c r="E63" s="113" t="str">
        <f t="shared" si="0"/>
        <v/>
      </c>
      <c r="F63" s="111" t="str">
        <f t="shared" si="1"/>
        <v/>
      </c>
    </row>
    <row r="64" spans="1:6" x14ac:dyDescent="0.25">
      <c r="A64" s="116" t="s">
        <v>1103</v>
      </c>
      <c r="B64" s="114"/>
      <c r="C64" s="111" t="str">
        <f t="shared" si="2"/>
        <v/>
      </c>
      <c r="D64" s="115"/>
      <c r="E64" s="113" t="str">
        <f t="shared" si="0"/>
        <v/>
      </c>
      <c r="F64" s="111" t="str">
        <f t="shared" si="1"/>
        <v/>
      </c>
    </row>
    <row r="65" spans="1:6" x14ac:dyDescent="0.25">
      <c r="A65" s="116" t="s">
        <v>1104</v>
      </c>
      <c r="B65" s="114"/>
      <c r="C65" s="111" t="str">
        <f t="shared" si="2"/>
        <v/>
      </c>
      <c r="D65" s="115"/>
      <c r="E65" s="113" t="str">
        <f t="shared" si="0"/>
        <v/>
      </c>
      <c r="F65" s="111" t="str">
        <f t="shared" si="1"/>
        <v/>
      </c>
    </row>
    <row r="66" spans="1:6" x14ac:dyDescent="0.25">
      <c r="A66" s="116" t="s">
        <v>1105</v>
      </c>
      <c r="B66" s="114"/>
      <c r="C66" s="111" t="str">
        <f t="shared" si="2"/>
        <v/>
      </c>
      <c r="D66" s="115"/>
      <c r="E66" s="113" t="str">
        <f t="shared" si="0"/>
        <v/>
      </c>
      <c r="F66" s="111" t="str">
        <f t="shared" si="1"/>
        <v/>
      </c>
    </row>
    <row r="67" spans="1:6" x14ac:dyDescent="0.25">
      <c r="A67" s="116" t="s">
        <v>1106</v>
      </c>
      <c r="B67" s="114"/>
      <c r="C67" s="111" t="str">
        <f t="shared" si="2"/>
        <v/>
      </c>
      <c r="D67" s="115"/>
      <c r="E67" s="113" t="str">
        <f t="shared" ref="E67:E130" si="3">IFERROR(MATCH(A67,$D$2:$D$1000,),"")</f>
        <v/>
      </c>
      <c r="F67" s="111" t="str">
        <f t="shared" ref="F67:F130" si="4">IF(E67&lt;&gt;"",INDEX($D$2:$D$1000,E67,1),"")</f>
        <v/>
      </c>
    </row>
    <row r="68" spans="1:6" x14ac:dyDescent="0.25">
      <c r="A68" s="116" t="s">
        <v>1107</v>
      </c>
      <c r="B68" s="114"/>
      <c r="C68" s="111" t="str">
        <f t="shared" si="2"/>
        <v/>
      </c>
      <c r="D68" s="115"/>
      <c r="E68" s="113" t="str">
        <f t="shared" si="3"/>
        <v/>
      </c>
      <c r="F68" s="111" t="str">
        <f t="shared" si="4"/>
        <v/>
      </c>
    </row>
    <row r="69" spans="1:6" x14ac:dyDescent="0.25">
      <c r="A69" s="116" t="s">
        <v>1108</v>
      </c>
      <c r="B69" s="114"/>
      <c r="C69" s="111" t="str">
        <f t="shared" si="2"/>
        <v/>
      </c>
      <c r="D69" s="115"/>
      <c r="E69" s="113" t="str">
        <f t="shared" si="3"/>
        <v/>
      </c>
      <c r="F69" s="111" t="str">
        <f t="shared" si="4"/>
        <v/>
      </c>
    </row>
    <row r="70" spans="1:6" x14ac:dyDescent="0.25">
      <c r="A70" s="116" t="s">
        <v>1109</v>
      </c>
      <c r="B70" s="114"/>
      <c r="C70" s="111" t="str">
        <f t="shared" si="2"/>
        <v/>
      </c>
      <c r="D70" s="115"/>
      <c r="E70" s="113" t="str">
        <f t="shared" si="3"/>
        <v/>
      </c>
      <c r="F70" s="111" t="str">
        <f t="shared" si="4"/>
        <v/>
      </c>
    </row>
    <row r="71" spans="1:6" x14ac:dyDescent="0.25">
      <c r="A71" s="116" t="s">
        <v>1110</v>
      </c>
      <c r="B71" s="114"/>
      <c r="C71" s="111" t="str">
        <f t="shared" si="2"/>
        <v/>
      </c>
      <c r="D71" s="115"/>
      <c r="E71" s="113" t="str">
        <f t="shared" si="3"/>
        <v/>
      </c>
      <c r="F71" s="111" t="str">
        <f t="shared" si="4"/>
        <v/>
      </c>
    </row>
    <row r="72" spans="1:6" x14ac:dyDescent="0.25">
      <c r="A72" s="116" t="s">
        <v>1111</v>
      </c>
      <c r="B72" s="114"/>
      <c r="C72" s="111" t="str">
        <f t="shared" si="2"/>
        <v/>
      </c>
      <c r="D72" s="115"/>
      <c r="E72" s="113" t="str">
        <f t="shared" si="3"/>
        <v/>
      </c>
      <c r="F72" s="111" t="str">
        <f t="shared" si="4"/>
        <v/>
      </c>
    </row>
    <row r="73" spans="1:6" x14ac:dyDescent="0.25">
      <c r="A73" s="116" t="s">
        <v>1112</v>
      </c>
      <c r="B73" s="114"/>
      <c r="C73" s="111" t="str">
        <f t="shared" si="2"/>
        <v/>
      </c>
      <c r="D73" s="115"/>
      <c r="E73" s="113" t="str">
        <f t="shared" si="3"/>
        <v/>
      </c>
      <c r="F73" s="111" t="str">
        <f t="shared" si="4"/>
        <v/>
      </c>
    </row>
    <row r="74" spans="1:6" x14ac:dyDescent="0.25">
      <c r="A74" s="116" t="s">
        <v>1113</v>
      </c>
      <c r="B74" s="114"/>
      <c r="C74" s="111" t="str">
        <f t="shared" ref="C74:C137" si="5">IF(ISNA(VLOOKUP(B74,$A$1:$A$1000,1,FALSE)),"","Yes")</f>
        <v/>
      </c>
      <c r="D74" s="115"/>
      <c r="E74" s="113" t="str">
        <f t="shared" si="3"/>
        <v/>
      </c>
      <c r="F74" s="111" t="str">
        <f t="shared" si="4"/>
        <v/>
      </c>
    </row>
    <row r="75" spans="1:6" x14ac:dyDescent="0.25">
      <c r="A75" s="116" t="s">
        <v>1114</v>
      </c>
      <c r="B75" s="114"/>
      <c r="C75" s="111" t="str">
        <f t="shared" si="5"/>
        <v/>
      </c>
      <c r="D75" s="115"/>
      <c r="E75" s="113" t="str">
        <f t="shared" si="3"/>
        <v/>
      </c>
      <c r="F75" s="111" t="str">
        <f t="shared" si="4"/>
        <v/>
      </c>
    </row>
    <row r="76" spans="1:6" x14ac:dyDescent="0.25">
      <c r="A76" s="116" t="s">
        <v>1115</v>
      </c>
      <c r="B76" s="114"/>
      <c r="C76" s="111" t="str">
        <f t="shared" si="5"/>
        <v/>
      </c>
      <c r="D76" s="115"/>
      <c r="E76" s="113" t="str">
        <f t="shared" si="3"/>
        <v/>
      </c>
      <c r="F76" s="111" t="str">
        <f t="shared" si="4"/>
        <v/>
      </c>
    </row>
    <row r="77" spans="1:6" x14ac:dyDescent="0.25">
      <c r="A77" s="116" t="s">
        <v>1062</v>
      </c>
      <c r="B77" s="114"/>
      <c r="C77" s="111" t="str">
        <f t="shared" si="5"/>
        <v/>
      </c>
      <c r="D77" s="115"/>
      <c r="E77" s="113">
        <f t="shared" si="3"/>
        <v>3</v>
      </c>
      <c r="F77" s="111" t="str">
        <f t="shared" si="4"/>
        <v>CAT0919Z0V9</v>
      </c>
    </row>
    <row r="78" spans="1:6" x14ac:dyDescent="0.25">
      <c r="A78" s="116" t="s">
        <v>1116</v>
      </c>
      <c r="B78" s="114"/>
      <c r="C78" s="111" t="str">
        <f t="shared" si="5"/>
        <v/>
      </c>
      <c r="D78" s="115"/>
      <c r="E78" s="113" t="str">
        <f t="shared" si="3"/>
        <v/>
      </c>
      <c r="F78" s="111" t="str">
        <f t="shared" si="4"/>
        <v/>
      </c>
    </row>
    <row r="79" spans="1:6" x14ac:dyDescent="0.25">
      <c r="A79" s="116" t="s">
        <v>1117</v>
      </c>
      <c r="B79" s="114"/>
      <c r="C79" s="111" t="str">
        <f t="shared" si="5"/>
        <v/>
      </c>
      <c r="D79" s="115"/>
      <c r="E79" s="113" t="str">
        <f t="shared" si="3"/>
        <v/>
      </c>
      <c r="F79" s="111" t="str">
        <f t="shared" si="4"/>
        <v/>
      </c>
    </row>
    <row r="80" spans="1:6" x14ac:dyDescent="0.25">
      <c r="A80" s="116" t="s">
        <v>1118</v>
      </c>
      <c r="B80" s="114"/>
      <c r="C80" s="111" t="str">
        <f t="shared" si="5"/>
        <v/>
      </c>
      <c r="D80" s="115"/>
      <c r="E80" s="113" t="str">
        <f t="shared" si="3"/>
        <v/>
      </c>
      <c r="F80" s="111" t="str">
        <f t="shared" si="4"/>
        <v/>
      </c>
    </row>
    <row r="81" spans="1:6" x14ac:dyDescent="0.25">
      <c r="A81" s="116" t="s">
        <v>1119</v>
      </c>
      <c r="B81" s="114"/>
      <c r="C81" s="111" t="str">
        <f t="shared" si="5"/>
        <v/>
      </c>
      <c r="D81" s="115"/>
      <c r="E81" s="113" t="str">
        <f t="shared" si="3"/>
        <v/>
      </c>
      <c r="F81" s="111" t="str">
        <f t="shared" si="4"/>
        <v/>
      </c>
    </row>
    <row r="82" spans="1:6" x14ac:dyDescent="0.25">
      <c r="A82" s="116" t="s">
        <v>1120</v>
      </c>
      <c r="B82" s="114"/>
      <c r="C82" s="111" t="str">
        <f t="shared" si="5"/>
        <v/>
      </c>
      <c r="D82" s="115"/>
      <c r="E82" s="113" t="str">
        <f t="shared" si="3"/>
        <v/>
      </c>
      <c r="F82" s="111" t="str">
        <f t="shared" si="4"/>
        <v/>
      </c>
    </row>
    <row r="83" spans="1:6" x14ac:dyDescent="0.25">
      <c r="A83" s="116" t="s">
        <v>1121</v>
      </c>
      <c r="B83" s="114"/>
      <c r="C83" s="111" t="str">
        <f t="shared" si="5"/>
        <v/>
      </c>
      <c r="D83" s="115"/>
      <c r="E83" s="113" t="str">
        <f t="shared" si="3"/>
        <v/>
      </c>
      <c r="F83" s="111" t="str">
        <f t="shared" si="4"/>
        <v/>
      </c>
    </row>
    <row r="84" spans="1:6" x14ac:dyDescent="0.25">
      <c r="A84" s="116" t="s">
        <v>1122</v>
      </c>
      <c r="B84" s="114"/>
      <c r="C84" s="111" t="str">
        <f t="shared" si="5"/>
        <v/>
      </c>
      <c r="D84" s="115"/>
      <c r="E84" s="113" t="str">
        <f t="shared" si="3"/>
        <v/>
      </c>
      <c r="F84" s="111" t="str">
        <f t="shared" si="4"/>
        <v/>
      </c>
    </row>
    <row r="85" spans="1:6" x14ac:dyDescent="0.25">
      <c r="A85" s="116" t="s">
        <v>1123</v>
      </c>
      <c r="B85" s="114"/>
      <c r="C85" s="111" t="str">
        <f t="shared" si="5"/>
        <v/>
      </c>
      <c r="D85" s="115"/>
      <c r="E85" s="113" t="str">
        <f t="shared" si="3"/>
        <v/>
      </c>
      <c r="F85" s="111" t="str">
        <f t="shared" si="4"/>
        <v/>
      </c>
    </row>
    <row r="86" spans="1:6" x14ac:dyDescent="0.25">
      <c r="A86" s="116" t="s">
        <v>1124</v>
      </c>
      <c r="B86" s="114"/>
      <c r="C86" s="111" t="str">
        <f t="shared" si="5"/>
        <v/>
      </c>
      <c r="D86" s="115"/>
      <c r="E86" s="113" t="str">
        <f t="shared" si="3"/>
        <v/>
      </c>
      <c r="F86" s="111" t="str">
        <f t="shared" si="4"/>
        <v/>
      </c>
    </row>
    <row r="87" spans="1:6" x14ac:dyDescent="0.25">
      <c r="A87" s="116" t="s">
        <v>1125</v>
      </c>
      <c r="B87" s="114"/>
      <c r="C87" s="111" t="str">
        <f t="shared" si="5"/>
        <v/>
      </c>
      <c r="D87" s="115"/>
      <c r="E87" s="113" t="str">
        <f t="shared" si="3"/>
        <v/>
      </c>
      <c r="F87" s="111" t="str">
        <f t="shared" si="4"/>
        <v/>
      </c>
    </row>
    <row r="88" spans="1:6" x14ac:dyDescent="0.25">
      <c r="A88" s="116" t="s">
        <v>1126</v>
      </c>
      <c r="B88" s="114"/>
      <c r="C88" s="111" t="str">
        <f t="shared" si="5"/>
        <v/>
      </c>
      <c r="D88" s="115"/>
      <c r="E88" s="113" t="str">
        <f t="shared" si="3"/>
        <v/>
      </c>
      <c r="F88" s="111" t="str">
        <f t="shared" si="4"/>
        <v/>
      </c>
    </row>
    <row r="89" spans="1:6" x14ac:dyDescent="0.25">
      <c r="A89" s="116" t="s">
        <v>1127</v>
      </c>
      <c r="B89" s="114"/>
      <c r="C89" s="111" t="str">
        <f t="shared" si="5"/>
        <v/>
      </c>
      <c r="D89" s="115"/>
      <c r="E89" s="113" t="str">
        <f t="shared" si="3"/>
        <v/>
      </c>
      <c r="F89" s="111" t="str">
        <f t="shared" si="4"/>
        <v/>
      </c>
    </row>
    <row r="90" spans="1:6" x14ac:dyDescent="0.25">
      <c r="A90" s="116" t="s">
        <v>1128</v>
      </c>
      <c r="B90" s="114"/>
      <c r="C90" s="111" t="str">
        <f t="shared" si="5"/>
        <v/>
      </c>
      <c r="D90" s="115"/>
      <c r="E90" s="113" t="str">
        <f t="shared" si="3"/>
        <v/>
      </c>
      <c r="F90" s="111" t="str">
        <f t="shared" si="4"/>
        <v/>
      </c>
    </row>
    <row r="91" spans="1:6" x14ac:dyDescent="0.25">
      <c r="A91" s="116" t="s">
        <v>1129</v>
      </c>
      <c r="B91" s="114"/>
      <c r="C91" s="111" t="str">
        <f t="shared" si="5"/>
        <v/>
      </c>
      <c r="D91" s="115"/>
      <c r="E91" s="113" t="str">
        <f t="shared" si="3"/>
        <v/>
      </c>
      <c r="F91" s="111" t="str">
        <f t="shared" si="4"/>
        <v/>
      </c>
    </row>
    <row r="92" spans="1:6" x14ac:dyDescent="0.25">
      <c r="A92" s="116" t="s">
        <v>1130</v>
      </c>
      <c r="B92" s="114"/>
      <c r="C92" s="111" t="str">
        <f t="shared" si="5"/>
        <v/>
      </c>
      <c r="D92" s="115"/>
      <c r="E92" s="113" t="str">
        <f t="shared" si="3"/>
        <v/>
      </c>
      <c r="F92" s="111" t="str">
        <f t="shared" si="4"/>
        <v/>
      </c>
    </row>
    <row r="93" spans="1:6" x14ac:dyDescent="0.25">
      <c r="A93" s="116" t="s">
        <v>1131</v>
      </c>
      <c r="B93" s="114"/>
      <c r="C93" s="111" t="str">
        <f t="shared" si="5"/>
        <v/>
      </c>
      <c r="D93" s="115"/>
      <c r="E93" s="113" t="str">
        <f t="shared" si="3"/>
        <v/>
      </c>
      <c r="F93" s="111" t="str">
        <f t="shared" si="4"/>
        <v/>
      </c>
    </row>
    <row r="94" spans="1:6" x14ac:dyDescent="0.25">
      <c r="A94" s="116" t="s">
        <v>1132</v>
      </c>
      <c r="B94" s="114"/>
      <c r="C94" s="111" t="str">
        <f t="shared" si="5"/>
        <v/>
      </c>
      <c r="D94" s="115"/>
      <c r="E94" s="113" t="str">
        <f t="shared" si="3"/>
        <v/>
      </c>
      <c r="F94" s="111" t="str">
        <f t="shared" si="4"/>
        <v/>
      </c>
    </row>
    <row r="95" spans="1:6" x14ac:dyDescent="0.25">
      <c r="A95" s="116" t="s">
        <v>756</v>
      </c>
      <c r="B95" s="114"/>
      <c r="C95" s="111" t="str">
        <f t="shared" si="5"/>
        <v/>
      </c>
      <c r="D95" s="115"/>
      <c r="E95" s="113">
        <f t="shared" si="3"/>
        <v>4</v>
      </c>
      <c r="F95" s="111" t="str">
        <f t="shared" si="4"/>
        <v>CAT0921R096</v>
      </c>
    </row>
    <row r="96" spans="1:6" x14ac:dyDescent="0.25">
      <c r="A96" s="116" t="s">
        <v>772</v>
      </c>
      <c r="B96" s="114"/>
      <c r="C96" s="111" t="str">
        <f t="shared" si="5"/>
        <v/>
      </c>
      <c r="D96" s="115"/>
      <c r="E96" s="113" t="str">
        <f t="shared" si="3"/>
        <v/>
      </c>
      <c r="F96" s="111" t="str">
        <f t="shared" si="4"/>
        <v/>
      </c>
    </row>
    <row r="97" spans="1:6" x14ac:dyDescent="0.25">
      <c r="A97" s="116" t="s">
        <v>773</v>
      </c>
      <c r="B97" s="114"/>
      <c r="C97" s="111" t="str">
        <f t="shared" si="5"/>
        <v/>
      </c>
      <c r="D97" s="115"/>
      <c r="E97" s="113" t="str">
        <f t="shared" si="3"/>
        <v/>
      </c>
      <c r="F97" s="111" t="str">
        <f t="shared" si="4"/>
        <v/>
      </c>
    </row>
    <row r="98" spans="1:6" x14ac:dyDescent="0.25">
      <c r="A98" s="116" t="s">
        <v>774</v>
      </c>
      <c r="B98" s="114"/>
      <c r="C98" s="111" t="str">
        <f t="shared" si="5"/>
        <v/>
      </c>
      <c r="D98" s="115"/>
      <c r="E98" s="113" t="str">
        <f t="shared" si="3"/>
        <v/>
      </c>
      <c r="F98" s="111" t="str">
        <f t="shared" si="4"/>
        <v/>
      </c>
    </row>
    <row r="99" spans="1:6" x14ac:dyDescent="0.25">
      <c r="A99" s="116" t="s">
        <v>1133</v>
      </c>
      <c r="B99" s="114"/>
      <c r="C99" s="111" t="str">
        <f t="shared" si="5"/>
        <v/>
      </c>
      <c r="D99" s="115"/>
      <c r="E99" s="113" t="str">
        <f t="shared" si="3"/>
        <v/>
      </c>
      <c r="F99" s="111" t="str">
        <f t="shared" si="4"/>
        <v/>
      </c>
    </row>
    <row r="100" spans="1:6" x14ac:dyDescent="0.25">
      <c r="A100" s="116" t="s">
        <v>775</v>
      </c>
      <c r="B100" s="114"/>
      <c r="C100" s="111" t="str">
        <f t="shared" si="5"/>
        <v/>
      </c>
      <c r="D100" s="115"/>
      <c r="E100" s="113" t="str">
        <f t="shared" si="3"/>
        <v/>
      </c>
      <c r="F100" s="111" t="str">
        <f t="shared" si="4"/>
        <v/>
      </c>
    </row>
    <row r="101" spans="1:6" x14ac:dyDescent="0.25">
      <c r="A101" s="116" t="s">
        <v>776</v>
      </c>
      <c r="B101" s="114"/>
      <c r="C101" s="111" t="str">
        <f t="shared" si="5"/>
        <v/>
      </c>
      <c r="D101" s="115"/>
      <c r="E101" s="113" t="str">
        <f t="shared" si="3"/>
        <v/>
      </c>
      <c r="F101" s="111" t="str">
        <f t="shared" si="4"/>
        <v/>
      </c>
    </row>
    <row r="102" spans="1:6" x14ac:dyDescent="0.25">
      <c r="A102" s="116" t="s">
        <v>1134</v>
      </c>
      <c r="B102" s="114"/>
      <c r="C102" s="111" t="str">
        <f t="shared" si="5"/>
        <v/>
      </c>
      <c r="D102" s="115"/>
      <c r="E102" s="113" t="str">
        <f t="shared" si="3"/>
        <v/>
      </c>
      <c r="F102" s="111" t="str">
        <f t="shared" si="4"/>
        <v/>
      </c>
    </row>
    <row r="103" spans="1:6" x14ac:dyDescent="0.25">
      <c r="A103" s="116" t="s">
        <v>1135</v>
      </c>
      <c r="B103" s="114"/>
      <c r="C103" s="111" t="str">
        <f t="shared" si="5"/>
        <v/>
      </c>
      <c r="D103" s="115"/>
      <c r="E103" s="113" t="str">
        <f t="shared" si="3"/>
        <v/>
      </c>
      <c r="F103" s="111" t="str">
        <f t="shared" si="4"/>
        <v/>
      </c>
    </row>
    <row r="104" spans="1:6" x14ac:dyDescent="0.25">
      <c r="A104" s="116" t="s">
        <v>1136</v>
      </c>
      <c r="B104" s="114"/>
      <c r="C104" s="111" t="str">
        <f t="shared" si="5"/>
        <v/>
      </c>
      <c r="D104" s="115"/>
      <c r="E104" s="113" t="str">
        <f t="shared" si="3"/>
        <v/>
      </c>
      <c r="F104" s="111" t="str">
        <f t="shared" si="4"/>
        <v/>
      </c>
    </row>
    <row r="105" spans="1:6" x14ac:dyDescent="0.25">
      <c r="A105" s="116" t="s">
        <v>1137</v>
      </c>
      <c r="B105" s="114"/>
      <c r="C105" s="111" t="str">
        <f t="shared" si="5"/>
        <v/>
      </c>
      <c r="D105" s="115"/>
      <c r="E105" s="113" t="str">
        <f t="shared" si="3"/>
        <v/>
      </c>
      <c r="F105" s="111" t="str">
        <f t="shared" si="4"/>
        <v/>
      </c>
    </row>
    <row r="106" spans="1:6" x14ac:dyDescent="0.25">
      <c r="A106" s="116" t="s">
        <v>1138</v>
      </c>
      <c r="B106" s="114"/>
      <c r="C106" s="111" t="str">
        <f t="shared" si="5"/>
        <v/>
      </c>
      <c r="D106" s="115"/>
      <c r="E106" s="113" t="str">
        <f t="shared" si="3"/>
        <v/>
      </c>
      <c r="F106" s="111" t="str">
        <f t="shared" si="4"/>
        <v/>
      </c>
    </row>
    <row r="107" spans="1:6" x14ac:dyDescent="0.25">
      <c r="A107" s="116" t="s">
        <v>1139</v>
      </c>
      <c r="B107" s="114"/>
      <c r="C107" s="111" t="str">
        <f t="shared" si="5"/>
        <v/>
      </c>
      <c r="D107" s="115"/>
      <c r="E107" s="113" t="str">
        <f t="shared" si="3"/>
        <v/>
      </c>
      <c r="F107" s="111" t="str">
        <f t="shared" si="4"/>
        <v/>
      </c>
    </row>
    <row r="108" spans="1:6" x14ac:dyDescent="0.25">
      <c r="A108" s="116" t="s">
        <v>1140</v>
      </c>
      <c r="B108" s="114"/>
      <c r="C108" s="111" t="str">
        <f t="shared" si="5"/>
        <v/>
      </c>
      <c r="D108" s="115"/>
      <c r="E108" s="113" t="str">
        <f t="shared" si="3"/>
        <v/>
      </c>
      <c r="F108" s="111" t="str">
        <f t="shared" si="4"/>
        <v/>
      </c>
    </row>
    <row r="109" spans="1:6" x14ac:dyDescent="0.25">
      <c r="A109" s="116" t="s">
        <v>1141</v>
      </c>
      <c r="B109" s="114"/>
      <c r="C109" s="111" t="str">
        <f t="shared" si="5"/>
        <v/>
      </c>
      <c r="D109" s="115"/>
      <c r="E109" s="113" t="str">
        <f t="shared" si="3"/>
        <v/>
      </c>
      <c r="F109" s="111" t="str">
        <f t="shared" si="4"/>
        <v/>
      </c>
    </row>
    <row r="110" spans="1:6" x14ac:dyDescent="0.25">
      <c r="A110" s="116" t="s">
        <v>1142</v>
      </c>
      <c r="B110" s="114"/>
      <c r="C110" s="111" t="str">
        <f t="shared" si="5"/>
        <v/>
      </c>
      <c r="D110" s="115"/>
      <c r="E110" s="113" t="str">
        <f t="shared" si="3"/>
        <v/>
      </c>
      <c r="F110" s="111" t="str">
        <f t="shared" si="4"/>
        <v/>
      </c>
    </row>
    <row r="111" spans="1:6" x14ac:dyDescent="0.25">
      <c r="A111" s="116" t="s">
        <v>1143</v>
      </c>
      <c r="B111" s="114"/>
      <c r="C111" s="111" t="str">
        <f t="shared" si="5"/>
        <v/>
      </c>
      <c r="D111" s="115"/>
      <c r="E111" s="113" t="str">
        <f t="shared" si="3"/>
        <v/>
      </c>
      <c r="F111" s="111" t="str">
        <f t="shared" si="4"/>
        <v/>
      </c>
    </row>
    <row r="112" spans="1:6" x14ac:dyDescent="0.25">
      <c r="A112" s="116" t="s">
        <v>1144</v>
      </c>
      <c r="B112" s="114"/>
      <c r="C112" s="111" t="str">
        <f t="shared" si="5"/>
        <v/>
      </c>
      <c r="D112" s="115"/>
      <c r="E112" s="113" t="str">
        <f t="shared" si="3"/>
        <v/>
      </c>
      <c r="F112" s="111" t="str">
        <f t="shared" si="4"/>
        <v/>
      </c>
    </row>
    <row r="113" spans="1:6" x14ac:dyDescent="0.25">
      <c r="A113" s="116" t="s">
        <v>1145</v>
      </c>
      <c r="B113" s="114"/>
      <c r="C113" s="111" t="str">
        <f t="shared" si="5"/>
        <v/>
      </c>
      <c r="D113" s="115"/>
      <c r="E113" s="113" t="str">
        <f t="shared" si="3"/>
        <v/>
      </c>
      <c r="F113" s="111" t="str">
        <f t="shared" si="4"/>
        <v/>
      </c>
    </row>
    <row r="114" spans="1:6" x14ac:dyDescent="0.25">
      <c r="A114" s="116" t="s">
        <v>1146</v>
      </c>
      <c r="B114" s="114"/>
      <c r="C114" s="111" t="str">
        <f t="shared" si="5"/>
        <v/>
      </c>
      <c r="D114" s="115"/>
      <c r="E114" s="113" t="str">
        <f t="shared" si="3"/>
        <v/>
      </c>
      <c r="F114" s="111" t="str">
        <f t="shared" si="4"/>
        <v/>
      </c>
    </row>
    <row r="115" spans="1:6" x14ac:dyDescent="0.25">
      <c r="A115" s="116" t="s">
        <v>1147</v>
      </c>
      <c r="B115" s="114"/>
      <c r="C115" s="111" t="str">
        <f t="shared" si="5"/>
        <v/>
      </c>
      <c r="D115" s="115"/>
      <c r="E115" s="113" t="str">
        <f t="shared" si="3"/>
        <v/>
      </c>
      <c r="F115" s="111" t="str">
        <f t="shared" si="4"/>
        <v/>
      </c>
    </row>
    <row r="116" spans="1:6" x14ac:dyDescent="0.25">
      <c r="A116" s="116" t="s">
        <v>1148</v>
      </c>
      <c r="B116" s="114"/>
      <c r="C116" s="111" t="str">
        <f t="shared" si="5"/>
        <v/>
      </c>
      <c r="D116" s="115"/>
      <c r="E116" s="113" t="str">
        <f t="shared" si="3"/>
        <v/>
      </c>
      <c r="F116" s="111" t="str">
        <f t="shared" si="4"/>
        <v/>
      </c>
    </row>
    <row r="117" spans="1:6" x14ac:dyDescent="0.25">
      <c r="A117" s="116" t="s">
        <v>1149</v>
      </c>
      <c r="B117" s="114"/>
      <c r="C117" s="111" t="str">
        <f t="shared" si="5"/>
        <v/>
      </c>
      <c r="D117" s="115"/>
      <c r="E117" s="113" t="str">
        <f t="shared" si="3"/>
        <v/>
      </c>
      <c r="F117" s="111" t="str">
        <f t="shared" si="4"/>
        <v/>
      </c>
    </row>
    <row r="118" spans="1:6" x14ac:dyDescent="0.25">
      <c r="A118" s="116" t="s">
        <v>1150</v>
      </c>
      <c r="B118" s="114"/>
      <c r="C118" s="111" t="str">
        <f t="shared" si="5"/>
        <v/>
      </c>
      <c r="D118" s="115"/>
      <c r="E118" s="113" t="str">
        <f t="shared" si="3"/>
        <v/>
      </c>
      <c r="F118" s="111" t="str">
        <f t="shared" si="4"/>
        <v/>
      </c>
    </row>
    <row r="119" spans="1:6" x14ac:dyDescent="0.25">
      <c r="A119" s="116" t="s">
        <v>1151</v>
      </c>
      <c r="B119" s="114"/>
      <c r="C119" s="111" t="str">
        <f t="shared" si="5"/>
        <v/>
      </c>
      <c r="D119" s="115"/>
      <c r="E119" s="113" t="str">
        <f t="shared" si="3"/>
        <v/>
      </c>
      <c r="F119" s="111" t="str">
        <f t="shared" si="4"/>
        <v/>
      </c>
    </row>
    <row r="120" spans="1:6" x14ac:dyDescent="0.25">
      <c r="A120" s="116" t="s">
        <v>1152</v>
      </c>
      <c r="B120" s="114"/>
      <c r="C120" s="111" t="str">
        <f t="shared" si="5"/>
        <v/>
      </c>
      <c r="D120" s="115"/>
      <c r="E120" s="113" t="str">
        <f t="shared" si="3"/>
        <v/>
      </c>
      <c r="F120" s="111" t="str">
        <f t="shared" si="4"/>
        <v/>
      </c>
    </row>
    <row r="121" spans="1:6" x14ac:dyDescent="0.25">
      <c r="A121" s="116" t="s">
        <v>1153</v>
      </c>
      <c r="B121" s="114"/>
      <c r="C121" s="111" t="str">
        <f t="shared" si="5"/>
        <v/>
      </c>
      <c r="D121" s="115"/>
      <c r="E121" s="113" t="str">
        <f t="shared" si="3"/>
        <v/>
      </c>
      <c r="F121" s="111" t="str">
        <f t="shared" si="4"/>
        <v/>
      </c>
    </row>
    <row r="122" spans="1:6" x14ac:dyDescent="0.25">
      <c r="A122" s="116" t="s">
        <v>1154</v>
      </c>
      <c r="B122" s="114"/>
      <c r="C122" s="111" t="str">
        <f t="shared" si="5"/>
        <v/>
      </c>
      <c r="D122" s="115"/>
      <c r="E122" s="113" t="str">
        <f t="shared" si="3"/>
        <v/>
      </c>
      <c r="F122" s="111" t="str">
        <f t="shared" si="4"/>
        <v/>
      </c>
    </row>
    <row r="123" spans="1:6" x14ac:dyDescent="0.25">
      <c r="A123" s="116" t="s">
        <v>1155</v>
      </c>
      <c r="B123" s="114"/>
      <c r="C123" s="111" t="str">
        <f t="shared" si="5"/>
        <v/>
      </c>
      <c r="D123" s="115"/>
      <c r="E123" s="113" t="str">
        <f t="shared" si="3"/>
        <v/>
      </c>
      <c r="F123" s="111" t="str">
        <f t="shared" si="4"/>
        <v/>
      </c>
    </row>
    <row r="124" spans="1:6" x14ac:dyDescent="0.25">
      <c r="A124" s="116" t="s">
        <v>1156</v>
      </c>
      <c r="B124" s="114"/>
      <c r="C124" s="111" t="str">
        <f t="shared" si="5"/>
        <v/>
      </c>
      <c r="D124" s="115"/>
      <c r="E124" s="113" t="str">
        <f t="shared" si="3"/>
        <v/>
      </c>
      <c r="F124" s="111" t="str">
        <f t="shared" si="4"/>
        <v/>
      </c>
    </row>
    <row r="125" spans="1:6" x14ac:dyDescent="0.25">
      <c r="A125" s="116" t="s">
        <v>1157</v>
      </c>
      <c r="B125" s="114"/>
      <c r="C125" s="111" t="str">
        <f t="shared" si="5"/>
        <v/>
      </c>
      <c r="D125" s="115"/>
      <c r="E125" s="113" t="str">
        <f t="shared" si="3"/>
        <v/>
      </c>
      <c r="F125" s="111" t="str">
        <f t="shared" si="4"/>
        <v/>
      </c>
    </row>
    <row r="126" spans="1:6" x14ac:dyDescent="0.25">
      <c r="A126" s="116" t="s">
        <v>1158</v>
      </c>
      <c r="B126" s="114"/>
      <c r="C126" s="111" t="str">
        <f t="shared" si="5"/>
        <v/>
      </c>
      <c r="D126" s="115"/>
      <c r="E126" s="113" t="str">
        <f t="shared" si="3"/>
        <v/>
      </c>
      <c r="F126" s="111" t="str">
        <f t="shared" si="4"/>
        <v/>
      </c>
    </row>
    <row r="127" spans="1:6" x14ac:dyDescent="0.25">
      <c r="A127" s="116" t="s">
        <v>1159</v>
      </c>
      <c r="B127" s="114"/>
      <c r="C127" s="111" t="str">
        <f t="shared" si="5"/>
        <v/>
      </c>
      <c r="D127" s="115"/>
      <c r="E127" s="113" t="str">
        <f t="shared" si="3"/>
        <v/>
      </c>
      <c r="F127" s="111" t="str">
        <f t="shared" si="4"/>
        <v/>
      </c>
    </row>
    <row r="128" spans="1:6" x14ac:dyDescent="0.25">
      <c r="A128" s="116" t="s">
        <v>1160</v>
      </c>
      <c r="B128" s="114"/>
      <c r="C128" s="111" t="str">
        <f t="shared" si="5"/>
        <v/>
      </c>
      <c r="D128" s="115"/>
      <c r="E128" s="113" t="str">
        <f t="shared" si="3"/>
        <v/>
      </c>
      <c r="F128" s="111" t="str">
        <f t="shared" si="4"/>
        <v/>
      </c>
    </row>
    <row r="129" spans="1:6" x14ac:dyDescent="0.25">
      <c r="A129" s="116" t="s">
        <v>1161</v>
      </c>
      <c r="B129" s="114"/>
      <c r="C129" s="111" t="str">
        <f t="shared" si="5"/>
        <v/>
      </c>
      <c r="D129" s="115"/>
      <c r="E129" s="113" t="str">
        <f t="shared" si="3"/>
        <v/>
      </c>
      <c r="F129" s="111" t="str">
        <f t="shared" si="4"/>
        <v/>
      </c>
    </row>
    <row r="130" spans="1:6" x14ac:dyDescent="0.25">
      <c r="A130" s="116" t="s">
        <v>1162</v>
      </c>
      <c r="B130" s="114"/>
      <c r="C130" s="111" t="str">
        <f t="shared" si="5"/>
        <v/>
      </c>
      <c r="D130" s="115"/>
      <c r="E130" s="113" t="str">
        <f t="shared" si="3"/>
        <v/>
      </c>
      <c r="F130" s="111" t="str">
        <f t="shared" si="4"/>
        <v/>
      </c>
    </row>
    <row r="131" spans="1:6" x14ac:dyDescent="0.25">
      <c r="A131" s="116" t="s">
        <v>1163</v>
      </c>
      <c r="B131" s="114"/>
      <c r="C131" s="111" t="str">
        <f t="shared" si="5"/>
        <v/>
      </c>
      <c r="D131" s="115"/>
      <c r="E131" s="113" t="str">
        <f t="shared" ref="E131:E194" si="6">IFERROR(MATCH(A131,$D$2:$D$1000,),"")</f>
        <v/>
      </c>
      <c r="F131" s="111" t="str">
        <f t="shared" ref="F131:F194" si="7">IF(E131&lt;&gt;"",INDEX($D$2:$D$1000,E131,1),"")</f>
        <v/>
      </c>
    </row>
    <row r="132" spans="1:6" x14ac:dyDescent="0.25">
      <c r="A132" s="116" t="s">
        <v>1164</v>
      </c>
      <c r="B132" s="114"/>
      <c r="C132" s="111" t="str">
        <f t="shared" si="5"/>
        <v/>
      </c>
      <c r="D132" s="115"/>
      <c r="E132" s="113" t="str">
        <f t="shared" si="6"/>
        <v/>
      </c>
      <c r="F132" s="111" t="str">
        <f t="shared" si="7"/>
        <v/>
      </c>
    </row>
    <row r="133" spans="1:6" x14ac:dyDescent="0.25">
      <c r="A133" s="116" t="s">
        <v>1165</v>
      </c>
      <c r="B133" s="114"/>
      <c r="C133" s="111" t="str">
        <f t="shared" si="5"/>
        <v/>
      </c>
      <c r="D133" s="115"/>
      <c r="E133" s="113" t="str">
        <f t="shared" si="6"/>
        <v/>
      </c>
      <c r="F133" s="111" t="str">
        <f t="shared" si="7"/>
        <v/>
      </c>
    </row>
    <row r="134" spans="1:6" x14ac:dyDescent="0.25">
      <c r="A134" s="116" t="s">
        <v>1166</v>
      </c>
      <c r="B134" s="114"/>
      <c r="C134" s="111" t="str">
        <f t="shared" si="5"/>
        <v/>
      </c>
      <c r="D134" s="115"/>
      <c r="E134" s="113" t="str">
        <f t="shared" si="6"/>
        <v/>
      </c>
      <c r="F134" s="111" t="str">
        <f t="shared" si="7"/>
        <v/>
      </c>
    </row>
    <row r="135" spans="1:6" x14ac:dyDescent="0.25">
      <c r="A135" s="116" t="s">
        <v>1167</v>
      </c>
      <c r="B135" s="114"/>
      <c r="C135" s="111" t="str">
        <f t="shared" si="5"/>
        <v/>
      </c>
      <c r="D135" s="115"/>
      <c r="E135" s="113" t="str">
        <f t="shared" si="6"/>
        <v/>
      </c>
      <c r="F135" s="111" t="str">
        <f t="shared" si="7"/>
        <v/>
      </c>
    </row>
    <row r="136" spans="1:6" x14ac:dyDescent="0.25">
      <c r="A136" s="116" t="s">
        <v>1168</v>
      </c>
      <c r="B136" s="114"/>
      <c r="C136" s="111" t="str">
        <f t="shared" si="5"/>
        <v/>
      </c>
      <c r="D136" s="115"/>
      <c r="E136" s="113" t="str">
        <f t="shared" si="6"/>
        <v/>
      </c>
      <c r="F136" s="111" t="str">
        <f t="shared" si="7"/>
        <v/>
      </c>
    </row>
    <row r="137" spans="1:6" x14ac:dyDescent="0.25">
      <c r="A137" s="116" t="s">
        <v>1169</v>
      </c>
      <c r="B137" s="114"/>
      <c r="C137" s="111" t="str">
        <f t="shared" si="5"/>
        <v/>
      </c>
      <c r="D137" s="115"/>
      <c r="E137" s="113" t="str">
        <f t="shared" si="6"/>
        <v/>
      </c>
      <c r="F137" s="111" t="str">
        <f t="shared" si="7"/>
        <v/>
      </c>
    </row>
    <row r="138" spans="1:6" x14ac:dyDescent="0.25">
      <c r="A138" s="116" t="s">
        <v>1170</v>
      </c>
      <c r="B138" s="114"/>
      <c r="C138" s="111" t="str">
        <f t="shared" ref="C138:C201" si="8">IF(ISNA(VLOOKUP(B138,$A$1:$A$1000,1,FALSE)),"","Yes")</f>
        <v/>
      </c>
      <c r="D138" s="115"/>
      <c r="E138" s="113" t="str">
        <f t="shared" si="6"/>
        <v/>
      </c>
      <c r="F138" s="111" t="str">
        <f t="shared" si="7"/>
        <v/>
      </c>
    </row>
    <row r="139" spans="1:6" x14ac:dyDescent="0.25">
      <c r="A139" s="116" t="s">
        <v>1171</v>
      </c>
      <c r="B139" s="114"/>
      <c r="C139" s="111" t="str">
        <f t="shared" si="8"/>
        <v/>
      </c>
      <c r="D139" s="115"/>
      <c r="E139" s="113" t="str">
        <f t="shared" si="6"/>
        <v/>
      </c>
      <c r="F139" s="111" t="str">
        <f t="shared" si="7"/>
        <v/>
      </c>
    </row>
    <row r="140" spans="1:6" x14ac:dyDescent="0.25">
      <c r="A140" s="116" t="s">
        <v>1172</v>
      </c>
      <c r="B140" s="114"/>
      <c r="C140" s="111" t="str">
        <f t="shared" si="8"/>
        <v/>
      </c>
      <c r="D140" s="115"/>
      <c r="E140" s="113" t="str">
        <f t="shared" si="6"/>
        <v/>
      </c>
      <c r="F140" s="111" t="str">
        <f t="shared" si="7"/>
        <v/>
      </c>
    </row>
    <row r="141" spans="1:6" x14ac:dyDescent="0.25">
      <c r="A141" s="116" t="s">
        <v>1173</v>
      </c>
      <c r="B141" s="114"/>
      <c r="C141" s="111" t="str">
        <f t="shared" si="8"/>
        <v/>
      </c>
      <c r="D141" s="115"/>
      <c r="E141" s="113" t="str">
        <f t="shared" si="6"/>
        <v/>
      </c>
      <c r="F141" s="111" t="str">
        <f t="shared" si="7"/>
        <v/>
      </c>
    </row>
    <row r="142" spans="1:6" x14ac:dyDescent="0.25">
      <c r="A142" s="116" t="s">
        <v>1174</v>
      </c>
      <c r="B142" s="114"/>
      <c r="C142" s="111" t="str">
        <f t="shared" si="8"/>
        <v/>
      </c>
      <c r="D142" s="115"/>
      <c r="E142" s="113" t="str">
        <f t="shared" si="6"/>
        <v/>
      </c>
      <c r="F142" s="111" t="str">
        <f t="shared" si="7"/>
        <v/>
      </c>
    </row>
    <row r="143" spans="1:6" x14ac:dyDescent="0.25">
      <c r="A143" s="116" t="s">
        <v>1175</v>
      </c>
      <c r="B143" s="114"/>
      <c r="C143" s="111" t="str">
        <f t="shared" si="8"/>
        <v/>
      </c>
      <c r="D143" s="115"/>
      <c r="E143" s="113" t="str">
        <f t="shared" si="6"/>
        <v/>
      </c>
      <c r="F143" s="111" t="str">
        <f t="shared" si="7"/>
        <v/>
      </c>
    </row>
    <row r="144" spans="1:6" x14ac:dyDescent="0.25">
      <c r="A144" s="116" t="s">
        <v>1176</v>
      </c>
      <c r="B144" s="114"/>
      <c r="C144" s="111" t="str">
        <f t="shared" si="8"/>
        <v/>
      </c>
      <c r="D144" s="115"/>
      <c r="E144" s="113" t="str">
        <f t="shared" si="6"/>
        <v/>
      </c>
      <c r="F144" s="111" t="str">
        <f t="shared" si="7"/>
        <v/>
      </c>
    </row>
    <row r="145" spans="1:6" x14ac:dyDescent="0.25">
      <c r="A145" s="116" t="s">
        <v>1177</v>
      </c>
      <c r="B145" s="114"/>
      <c r="C145" s="111" t="str">
        <f t="shared" si="8"/>
        <v/>
      </c>
      <c r="D145" s="115"/>
      <c r="E145" s="113" t="str">
        <f t="shared" si="6"/>
        <v/>
      </c>
      <c r="F145" s="111" t="str">
        <f t="shared" si="7"/>
        <v/>
      </c>
    </row>
    <row r="146" spans="1:6" x14ac:dyDescent="0.25">
      <c r="A146" s="116" t="s">
        <v>1178</v>
      </c>
      <c r="B146" s="114"/>
      <c r="C146" s="111" t="str">
        <f t="shared" si="8"/>
        <v/>
      </c>
      <c r="D146" s="115"/>
      <c r="E146" s="113" t="str">
        <f t="shared" si="6"/>
        <v/>
      </c>
      <c r="F146" s="111" t="str">
        <f t="shared" si="7"/>
        <v/>
      </c>
    </row>
    <row r="147" spans="1:6" x14ac:dyDescent="0.25">
      <c r="A147" s="116" t="s">
        <v>1179</v>
      </c>
      <c r="B147" s="114"/>
      <c r="C147" s="111" t="str">
        <f t="shared" si="8"/>
        <v/>
      </c>
      <c r="D147" s="115"/>
      <c r="E147" s="113" t="str">
        <f t="shared" si="6"/>
        <v/>
      </c>
      <c r="F147" s="111" t="str">
        <f t="shared" si="7"/>
        <v/>
      </c>
    </row>
    <row r="148" spans="1:6" x14ac:dyDescent="0.25">
      <c r="A148" s="116" t="s">
        <v>1180</v>
      </c>
      <c r="B148" s="114"/>
      <c r="C148" s="111" t="str">
        <f t="shared" si="8"/>
        <v/>
      </c>
      <c r="D148" s="115"/>
      <c r="E148" s="113" t="str">
        <f t="shared" si="6"/>
        <v/>
      </c>
      <c r="F148" s="111" t="str">
        <f t="shared" si="7"/>
        <v/>
      </c>
    </row>
    <row r="149" spans="1:6" x14ac:dyDescent="0.25">
      <c r="A149" s="116" t="s">
        <v>1181</v>
      </c>
      <c r="B149" s="114"/>
      <c r="C149" s="111" t="str">
        <f t="shared" si="8"/>
        <v/>
      </c>
      <c r="D149" s="115"/>
      <c r="E149" s="113" t="str">
        <f t="shared" si="6"/>
        <v/>
      </c>
      <c r="F149" s="111" t="str">
        <f t="shared" si="7"/>
        <v/>
      </c>
    </row>
    <row r="150" spans="1:6" x14ac:dyDescent="0.25">
      <c r="A150" s="116" t="s">
        <v>1182</v>
      </c>
      <c r="B150" s="114"/>
      <c r="C150" s="111" t="str">
        <f t="shared" si="8"/>
        <v/>
      </c>
      <c r="D150" s="115"/>
      <c r="E150" s="113" t="str">
        <f t="shared" si="6"/>
        <v/>
      </c>
      <c r="F150" s="111" t="str">
        <f t="shared" si="7"/>
        <v/>
      </c>
    </row>
    <row r="151" spans="1:6" x14ac:dyDescent="0.25">
      <c r="A151" s="116" t="s">
        <v>1183</v>
      </c>
      <c r="B151" s="114"/>
      <c r="C151" s="111" t="str">
        <f t="shared" si="8"/>
        <v/>
      </c>
      <c r="D151" s="115"/>
      <c r="E151" s="113" t="str">
        <f t="shared" si="6"/>
        <v/>
      </c>
      <c r="F151" s="111" t="str">
        <f t="shared" si="7"/>
        <v/>
      </c>
    </row>
    <row r="152" spans="1:6" x14ac:dyDescent="0.25">
      <c r="A152" s="116" t="s">
        <v>1184</v>
      </c>
      <c r="B152" s="114"/>
      <c r="C152" s="111" t="str">
        <f t="shared" si="8"/>
        <v/>
      </c>
      <c r="D152" s="115"/>
      <c r="E152" s="113" t="str">
        <f t="shared" si="6"/>
        <v/>
      </c>
      <c r="F152" s="111" t="str">
        <f t="shared" si="7"/>
        <v/>
      </c>
    </row>
    <row r="153" spans="1:6" x14ac:dyDescent="0.25">
      <c r="A153" s="116" t="s">
        <v>1185</v>
      </c>
      <c r="B153" s="114"/>
      <c r="C153" s="111" t="str">
        <f t="shared" si="8"/>
        <v/>
      </c>
      <c r="D153" s="115"/>
      <c r="E153" s="113" t="str">
        <f t="shared" si="6"/>
        <v/>
      </c>
      <c r="F153" s="111" t="str">
        <f t="shared" si="7"/>
        <v/>
      </c>
    </row>
    <row r="154" spans="1:6" x14ac:dyDescent="0.25">
      <c r="A154" s="116" t="s">
        <v>1186</v>
      </c>
      <c r="B154" s="114"/>
      <c r="C154" s="111" t="str">
        <f t="shared" si="8"/>
        <v/>
      </c>
      <c r="D154" s="115"/>
      <c r="E154" s="113" t="str">
        <f t="shared" si="6"/>
        <v/>
      </c>
      <c r="F154" s="111" t="str">
        <f t="shared" si="7"/>
        <v/>
      </c>
    </row>
    <row r="155" spans="1:6" x14ac:dyDescent="0.25">
      <c r="A155" s="116" t="s">
        <v>1187</v>
      </c>
      <c r="B155" s="114"/>
      <c r="C155" s="111" t="str">
        <f t="shared" si="8"/>
        <v/>
      </c>
      <c r="D155" s="115"/>
      <c r="E155" s="113" t="str">
        <f t="shared" si="6"/>
        <v/>
      </c>
      <c r="F155" s="111" t="str">
        <f t="shared" si="7"/>
        <v/>
      </c>
    </row>
    <row r="156" spans="1:6" x14ac:dyDescent="0.25">
      <c r="A156" s="116" t="s">
        <v>1188</v>
      </c>
      <c r="B156" s="114"/>
      <c r="C156" s="111" t="str">
        <f t="shared" si="8"/>
        <v/>
      </c>
      <c r="D156" s="115"/>
      <c r="E156" s="113" t="str">
        <f t="shared" si="6"/>
        <v/>
      </c>
      <c r="F156" s="111" t="str">
        <f t="shared" si="7"/>
        <v/>
      </c>
    </row>
    <row r="157" spans="1:6" x14ac:dyDescent="0.25">
      <c r="A157" s="116" t="s">
        <v>1189</v>
      </c>
      <c r="B157" s="114"/>
      <c r="C157" s="111" t="str">
        <f t="shared" si="8"/>
        <v/>
      </c>
      <c r="D157" s="115"/>
      <c r="E157" s="113" t="str">
        <f t="shared" si="6"/>
        <v/>
      </c>
      <c r="F157" s="111" t="str">
        <f t="shared" si="7"/>
        <v/>
      </c>
    </row>
    <row r="158" spans="1:6" x14ac:dyDescent="0.25">
      <c r="A158" s="116" t="s">
        <v>1060</v>
      </c>
      <c r="B158" s="114"/>
      <c r="C158" s="111" t="str">
        <f t="shared" si="8"/>
        <v/>
      </c>
      <c r="D158" s="115"/>
      <c r="E158" s="113">
        <f t="shared" si="6"/>
        <v>2</v>
      </c>
      <c r="F158" s="111" t="str">
        <f t="shared" si="7"/>
        <v>CAT1109RHQ3</v>
      </c>
    </row>
    <row r="159" spans="1:6" x14ac:dyDescent="0.25">
      <c r="A159" s="116" t="s">
        <v>1190</v>
      </c>
      <c r="B159" s="114"/>
      <c r="C159" s="111" t="str">
        <f t="shared" si="8"/>
        <v/>
      </c>
      <c r="D159" s="115"/>
      <c r="E159" s="113" t="str">
        <f t="shared" si="6"/>
        <v/>
      </c>
      <c r="F159" s="111" t="str">
        <f t="shared" si="7"/>
        <v/>
      </c>
    </row>
    <row r="160" spans="1:6" x14ac:dyDescent="0.25">
      <c r="A160" s="116" t="s">
        <v>1191</v>
      </c>
      <c r="B160" s="114"/>
      <c r="C160" s="111" t="str">
        <f t="shared" si="8"/>
        <v/>
      </c>
      <c r="D160" s="115"/>
      <c r="E160" s="113" t="str">
        <f t="shared" si="6"/>
        <v/>
      </c>
      <c r="F160" s="111" t="str">
        <f t="shared" si="7"/>
        <v/>
      </c>
    </row>
    <row r="161" spans="1:6" x14ac:dyDescent="0.25">
      <c r="A161" s="116" t="s">
        <v>1192</v>
      </c>
      <c r="B161" s="114"/>
      <c r="C161" s="111" t="str">
        <f t="shared" si="8"/>
        <v/>
      </c>
      <c r="D161" s="115"/>
      <c r="E161" s="113" t="str">
        <f t="shared" si="6"/>
        <v/>
      </c>
      <c r="F161" s="111" t="str">
        <f t="shared" si="7"/>
        <v/>
      </c>
    </row>
    <row r="162" spans="1:6" x14ac:dyDescent="0.25">
      <c r="A162" s="116" t="s">
        <v>1193</v>
      </c>
      <c r="B162" s="114"/>
      <c r="C162" s="111" t="str">
        <f t="shared" si="8"/>
        <v/>
      </c>
      <c r="D162" s="115"/>
      <c r="E162" s="113" t="str">
        <f t="shared" si="6"/>
        <v/>
      </c>
      <c r="F162" s="111" t="str">
        <f t="shared" si="7"/>
        <v/>
      </c>
    </row>
    <row r="163" spans="1:6" x14ac:dyDescent="0.25">
      <c r="A163" s="116" t="s">
        <v>1194</v>
      </c>
      <c r="B163" s="114"/>
      <c r="C163" s="111" t="str">
        <f t="shared" si="8"/>
        <v/>
      </c>
      <c r="D163" s="115"/>
      <c r="E163" s="113" t="str">
        <f t="shared" si="6"/>
        <v/>
      </c>
      <c r="F163" s="111" t="str">
        <f t="shared" si="7"/>
        <v/>
      </c>
    </row>
    <row r="164" spans="1:6" x14ac:dyDescent="0.25">
      <c r="A164" s="116" t="s">
        <v>1195</v>
      </c>
      <c r="B164" s="114"/>
      <c r="C164" s="111" t="str">
        <f t="shared" si="8"/>
        <v/>
      </c>
      <c r="D164" s="115"/>
      <c r="E164" s="113" t="str">
        <f t="shared" si="6"/>
        <v/>
      </c>
      <c r="F164" s="111" t="str">
        <f t="shared" si="7"/>
        <v/>
      </c>
    </row>
    <row r="165" spans="1:6" x14ac:dyDescent="0.25">
      <c r="A165" s="116" t="s">
        <v>1196</v>
      </c>
      <c r="B165" s="114"/>
      <c r="C165" s="111" t="str">
        <f t="shared" si="8"/>
        <v/>
      </c>
      <c r="D165" s="115"/>
      <c r="E165" s="113" t="str">
        <f t="shared" si="6"/>
        <v/>
      </c>
      <c r="F165" s="111" t="str">
        <f t="shared" si="7"/>
        <v/>
      </c>
    </row>
    <row r="166" spans="1:6" x14ac:dyDescent="0.25">
      <c r="A166" s="116" t="s">
        <v>1197</v>
      </c>
      <c r="B166" s="114"/>
      <c r="C166" s="111" t="str">
        <f t="shared" si="8"/>
        <v/>
      </c>
      <c r="D166" s="115"/>
      <c r="E166" s="113" t="str">
        <f t="shared" si="6"/>
        <v/>
      </c>
      <c r="F166" s="111" t="str">
        <f t="shared" si="7"/>
        <v/>
      </c>
    </row>
    <row r="167" spans="1:6" x14ac:dyDescent="0.25">
      <c r="A167" s="116" t="s">
        <v>1198</v>
      </c>
      <c r="B167" s="114"/>
      <c r="C167" s="111" t="str">
        <f t="shared" si="8"/>
        <v/>
      </c>
      <c r="D167" s="115"/>
      <c r="E167" s="113" t="str">
        <f t="shared" si="6"/>
        <v/>
      </c>
      <c r="F167" s="111" t="str">
        <f t="shared" si="7"/>
        <v/>
      </c>
    </row>
    <row r="168" spans="1:6" x14ac:dyDescent="0.25">
      <c r="A168" s="116" t="s">
        <v>1199</v>
      </c>
      <c r="B168" s="114"/>
      <c r="C168" s="111" t="str">
        <f t="shared" si="8"/>
        <v/>
      </c>
      <c r="D168" s="115"/>
      <c r="E168" s="113" t="str">
        <f t="shared" si="6"/>
        <v/>
      </c>
      <c r="F168" s="111" t="str">
        <f t="shared" si="7"/>
        <v/>
      </c>
    </row>
    <row r="169" spans="1:6" x14ac:dyDescent="0.25">
      <c r="A169" s="116" t="s">
        <v>1200</v>
      </c>
      <c r="B169" s="114"/>
      <c r="C169" s="111" t="str">
        <f t="shared" si="8"/>
        <v/>
      </c>
      <c r="D169" s="115"/>
      <c r="E169" s="113" t="str">
        <f t="shared" si="6"/>
        <v/>
      </c>
      <c r="F169" s="111" t="str">
        <f t="shared" si="7"/>
        <v/>
      </c>
    </row>
    <row r="170" spans="1:6" x14ac:dyDescent="0.25">
      <c r="A170" s="116" t="s">
        <v>1201</v>
      </c>
      <c r="B170" s="114"/>
      <c r="C170" s="111" t="str">
        <f t="shared" si="8"/>
        <v/>
      </c>
      <c r="D170" s="115"/>
      <c r="E170" s="113" t="str">
        <f t="shared" si="6"/>
        <v/>
      </c>
      <c r="F170" s="111" t="str">
        <f t="shared" si="7"/>
        <v/>
      </c>
    </row>
    <row r="171" spans="1:6" x14ac:dyDescent="0.25">
      <c r="A171" s="116" t="s">
        <v>1202</v>
      </c>
      <c r="B171" s="114"/>
      <c r="C171" s="111" t="str">
        <f t="shared" si="8"/>
        <v/>
      </c>
      <c r="D171" s="115"/>
      <c r="E171" s="113" t="str">
        <f t="shared" si="6"/>
        <v/>
      </c>
      <c r="F171" s="111" t="str">
        <f t="shared" si="7"/>
        <v/>
      </c>
    </row>
    <row r="172" spans="1:6" x14ac:dyDescent="0.25">
      <c r="A172" s="116" t="s">
        <v>1203</v>
      </c>
      <c r="B172" s="114"/>
      <c r="C172" s="111" t="str">
        <f t="shared" si="8"/>
        <v/>
      </c>
      <c r="D172" s="115"/>
      <c r="E172" s="113" t="str">
        <f t="shared" si="6"/>
        <v/>
      </c>
      <c r="F172" s="111" t="str">
        <f t="shared" si="7"/>
        <v/>
      </c>
    </row>
    <row r="173" spans="1:6" x14ac:dyDescent="0.25">
      <c r="A173" s="116" t="s">
        <v>1204</v>
      </c>
      <c r="B173" s="114"/>
      <c r="C173" s="111" t="str">
        <f t="shared" si="8"/>
        <v/>
      </c>
      <c r="D173" s="115"/>
      <c r="E173" s="113" t="str">
        <f t="shared" si="6"/>
        <v/>
      </c>
      <c r="F173" s="111" t="str">
        <f t="shared" si="7"/>
        <v/>
      </c>
    </row>
    <row r="174" spans="1:6" x14ac:dyDescent="0.25">
      <c r="A174" s="116" t="s">
        <v>1205</v>
      </c>
      <c r="B174" s="114"/>
      <c r="C174" s="111" t="str">
        <f t="shared" si="8"/>
        <v/>
      </c>
      <c r="D174" s="115"/>
      <c r="E174" s="113" t="str">
        <f t="shared" si="6"/>
        <v/>
      </c>
      <c r="F174" s="111" t="str">
        <f t="shared" si="7"/>
        <v/>
      </c>
    </row>
    <row r="175" spans="1:6" x14ac:dyDescent="0.25">
      <c r="A175" s="116" t="s">
        <v>1206</v>
      </c>
      <c r="B175" s="114"/>
      <c r="C175" s="111" t="str">
        <f t="shared" si="8"/>
        <v/>
      </c>
      <c r="D175" s="115"/>
      <c r="E175" s="113" t="str">
        <f t="shared" si="6"/>
        <v/>
      </c>
      <c r="F175" s="111" t="str">
        <f t="shared" si="7"/>
        <v/>
      </c>
    </row>
    <row r="176" spans="1:6" x14ac:dyDescent="0.25">
      <c r="A176" s="116" t="s">
        <v>1207</v>
      </c>
      <c r="B176" s="114"/>
      <c r="C176" s="111" t="str">
        <f t="shared" si="8"/>
        <v/>
      </c>
      <c r="D176" s="115"/>
      <c r="E176" s="113" t="str">
        <f t="shared" si="6"/>
        <v/>
      </c>
      <c r="F176" s="111" t="str">
        <f t="shared" si="7"/>
        <v/>
      </c>
    </row>
    <row r="177" spans="1:6" x14ac:dyDescent="0.25">
      <c r="A177" s="116" t="s">
        <v>1208</v>
      </c>
      <c r="B177" s="114"/>
      <c r="C177" s="111" t="str">
        <f t="shared" si="8"/>
        <v/>
      </c>
      <c r="D177" s="115"/>
      <c r="E177" s="113" t="str">
        <f t="shared" si="6"/>
        <v/>
      </c>
      <c r="F177" s="111" t="str">
        <f t="shared" si="7"/>
        <v/>
      </c>
    </row>
    <row r="178" spans="1:6" x14ac:dyDescent="0.25">
      <c r="A178" s="116" t="s">
        <v>1209</v>
      </c>
      <c r="B178" s="114"/>
      <c r="C178" s="111" t="str">
        <f t="shared" si="8"/>
        <v/>
      </c>
      <c r="D178" s="115"/>
      <c r="E178" s="113" t="str">
        <f t="shared" si="6"/>
        <v/>
      </c>
      <c r="F178" s="111" t="str">
        <f t="shared" si="7"/>
        <v/>
      </c>
    </row>
    <row r="179" spans="1:6" x14ac:dyDescent="0.25">
      <c r="A179" s="116" t="s">
        <v>1210</v>
      </c>
      <c r="B179" s="114"/>
      <c r="C179" s="111" t="str">
        <f t="shared" si="8"/>
        <v/>
      </c>
      <c r="D179" s="115"/>
      <c r="E179" s="113" t="str">
        <f t="shared" si="6"/>
        <v/>
      </c>
      <c r="F179" s="111" t="str">
        <f t="shared" si="7"/>
        <v/>
      </c>
    </row>
    <row r="180" spans="1:6" x14ac:dyDescent="0.25">
      <c r="A180" s="116" t="s">
        <v>1211</v>
      </c>
      <c r="B180" s="114"/>
      <c r="C180" s="111" t="str">
        <f t="shared" si="8"/>
        <v/>
      </c>
      <c r="D180" s="115"/>
      <c r="E180" s="113" t="str">
        <f t="shared" si="6"/>
        <v/>
      </c>
      <c r="F180" s="111" t="str">
        <f t="shared" si="7"/>
        <v/>
      </c>
    </row>
    <row r="181" spans="1:6" x14ac:dyDescent="0.25">
      <c r="A181" s="116" t="s">
        <v>1212</v>
      </c>
      <c r="B181" s="114"/>
      <c r="C181" s="111" t="str">
        <f t="shared" si="8"/>
        <v/>
      </c>
      <c r="D181" s="115"/>
      <c r="E181" s="113" t="str">
        <f t="shared" si="6"/>
        <v/>
      </c>
      <c r="F181" s="111" t="str">
        <f t="shared" si="7"/>
        <v/>
      </c>
    </row>
    <row r="182" spans="1:6" x14ac:dyDescent="0.25">
      <c r="A182" s="116" t="s">
        <v>1213</v>
      </c>
      <c r="B182" s="114"/>
      <c r="C182" s="111" t="str">
        <f t="shared" si="8"/>
        <v/>
      </c>
      <c r="D182" s="115"/>
      <c r="E182" s="113" t="str">
        <f t="shared" si="6"/>
        <v/>
      </c>
      <c r="F182" s="111" t="str">
        <f t="shared" si="7"/>
        <v/>
      </c>
    </row>
    <row r="183" spans="1:6" x14ac:dyDescent="0.25">
      <c r="A183" s="116" t="s">
        <v>1214</v>
      </c>
      <c r="B183" s="114"/>
      <c r="C183" s="111" t="str">
        <f t="shared" si="8"/>
        <v/>
      </c>
      <c r="D183" s="115"/>
      <c r="E183" s="113" t="str">
        <f t="shared" si="6"/>
        <v/>
      </c>
      <c r="F183" s="111" t="str">
        <f t="shared" si="7"/>
        <v/>
      </c>
    </row>
    <row r="184" spans="1:6" x14ac:dyDescent="0.25">
      <c r="A184" s="116" t="s">
        <v>1215</v>
      </c>
      <c r="B184" s="114"/>
      <c r="C184" s="111" t="str">
        <f t="shared" si="8"/>
        <v/>
      </c>
      <c r="D184" s="115"/>
      <c r="E184" s="113" t="str">
        <f t="shared" si="6"/>
        <v/>
      </c>
      <c r="F184" s="111" t="str">
        <f t="shared" si="7"/>
        <v/>
      </c>
    </row>
    <row r="185" spans="1:6" x14ac:dyDescent="0.25">
      <c r="A185" s="116" t="s">
        <v>1216</v>
      </c>
      <c r="B185" s="114"/>
      <c r="C185" s="111" t="str">
        <f t="shared" si="8"/>
        <v/>
      </c>
      <c r="D185" s="115"/>
      <c r="E185" s="113" t="str">
        <f t="shared" si="6"/>
        <v/>
      </c>
      <c r="F185" s="111" t="str">
        <f t="shared" si="7"/>
        <v/>
      </c>
    </row>
    <row r="186" spans="1:6" x14ac:dyDescent="0.25">
      <c r="A186" s="116" t="s">
        <v>1217</v>
      </c>
      <c r="B186" s="114"/>
      <c r="C186" s="111" t="str">
        <f t="shared" si="8"/>
        <v/>
      </c>
      <c r="D186" s="115"/>
      <c r="E186" s="113" t="str">
        <f t="shared" si="6"/>
        <v/>
      </c>
      <c r="F186" s="111" t="str">
        <f t="shared" si="7"/>
        <v/>
      </c>
    </row>
    <row r="187" spans="1:6" x14ac:dyDescent="0.25">
      <c r="A187" s="116" t="s">
        <v>1218</v>
      </c>
      <c r="B187" s="114"/>
      <c r="C187" s="111" t="str">
        <f t="shared" si="8"/>
        <v/>
      </c>
      <c r="D187" s="115"/>
      <c r="E187" s="113" t="str">
        <f t="shared" si="6"/>
        <v/>
      </c>
      <c r="F187" s="111" t="str">
        <f t="shared" si="7"/>
        <v/>
      </c>
    </row>
    <row r="188" spans="1:6" x14ac:dyDescent="0.25">
      <c r="A188" s="116" t="s">
        <v>1219</v>
      </c>
      <c r="B188" s="114"/>
      <c r="C188" s="111" t="str">
        <f t="shared" si="8"/>
        <v/>
      </c>
      <c r="D188" s="115"/>
      <c r="E188" s="113" t="str">
        <f t="shared" si="6"/>
        <v/>
      </c>
      <c r="F188" s="111" t="str">
        <f t="shared" si="7"/>
        <v/>
      </c>
    </row>
    <row r="189" spans="1:6" x14ac:dyDescent="0.25">
      <c r="A189" s="116" t="s">
        <v>1220</v>
      </c>
      <c r="B189" s="114"/>
      <c r="C189" s="111" t="str">
        <f t="shared" si="8"/>
        <v/>
      </c>
      <c r="D189" s="115"/>
      <c r="E189" s="113" t="str">
        <f t="shared" si="6"/>
        <v/>
      </c>
      <c r="F189" s="111" t="str">
        <f t="shared" si="7"/>
        <v/>
      </c>
    </row>
    <row r="190" spans="1:6" x14ac:dyDescent="0.25">
      <c r="A190" s="116" t="s">
        <v>1221</v>
      </c>
      <c r="B190" s="114"/>
      <c r="C190" s="111" t="str">
        <f t="shared" si="8"/>
        <v/>
      </c>
      <c r="D190" s="115"/>
      <c r="E190" s="113" t="str">
        <f t="shared" si="6"/>
        <v/>
      </c>
      <c r="F190" s="111" t="str">
        <f t="shared" si="7"/>
        <v/>
      </c>
    </row>
    <row r="191" spans="1:6" x14ac:dyDescent="0.25">
      <c r="A191" s="116" t="s">
        <v>1222</v>
      </c>
      <c r="B191" s="114"/>
      <c r="C191" s="111" t="str">
        <f t="shared" si="8"/>
        <v/>
      </c>
      <c r="D191" s="115"/>
      <c r="E191" s="113" t="str">
        <f t="shared" si="6"/>
        <v/>
      </c>
      <c r="F191" s="111" t="str">
        <f t="shared" si="7"/>
        <v/>
      </c>
    </row>
    <row r="192" spans="1:6" x14ac:dyDescent="0.25">
      <c r="A192" s="116" t="s">
        <v>1223</v>
      </c>
      <c r="B192" s="114"/>
      <c r="C192" s="111" t="str">
        <f t="shared" si="8"/>
        <v/>
      </c>
      <c r="D192" s="115"/>
      <c r="E192" s="113" t="str">
        <f t="shared" si="6"/>
        <v/>
      </c>
      <c r="F192" s="111" t="str">
        <f t="shared" si="7"/>
        <v/>
      </c>
    </row>
    <row r="193" spans="1:6" x14ac:dyDescent="0.25">
      <c r="A193" s="116" t="s">
        <v>1224</v>
      </c>
      <c r="B193" s="114"/>
      <c r="C193" s="111" t="str">
        <f t="shared" si="8"/>
        <v/>
      </c>
      <c r="D193" s="115"/>
      <c r="E193" s="113" t="str">
        <f t="shared" si="6"/>
        <v/>
      </c>
      <c r="F193" s="111" t="str">
        <f t="shared" si="7"/>
        <v/>
      </c>
    </row>
    <row r="194" spans="1:6" x14ac:dyDescent="0.25">
      <c r="A194" s="116" t="s">
        <v>1225</v>
      </c>
      <c r="B194" s="114"/>
      <c r="C194" s="111" t="str">
        <f t="shared" si="8"/>
        <v/>
      </c>
      <c r="D194" s="115"/>
      <c r="E194" s="113" t="str">
        <f t="shared" si="6"/>
        <v/>
      </c>
      <c r="F194" s="111" t="str">
        <f t="shared" si="7"/>
        <v/>
      </c>
    </row>
    <row r="195" spans="1:6" x14ac:dyDescent="0.25">
      <c r="A195" s="116" t="s">
        <v>1226</v>
      </c>
      <c r="B195" s="114"/>
      <c r="C195" s="111" t="str">
        <f t="shared" si="8"/>
        <v/>
      </c>
      <c r="D195" s="115"/>
      <c r="E195" s="113" t="str">
        <f t="shared" ref="E195:E258" si="9">IFERROR(MATCH(A195,$D$2:$D$1000,),"")</f>
        <v/>
      </c>
      <c r="F195" s="111" t="str">
        <f t="shared" ref="F195:F258" si="10">IF(E195&lt;&gt;"",INDEX($D$2:$D$1000,E195,1),"")</f>
        <v/>
      </c>
    </row>
    <row r="196" spans="1:6" x14ac:dyDescent="0.25">
      <c r="A196" s="116" t="s">
        <v>1227</v>
      </c>
      <c r="B196" s="114"/>
      <c r="C196" s="111" t="str">
        <f t="shared" si="8"/>
        <v/>
      </c>
      <c r="D196" s="115"/>
      <c r="E196" s="113" t="str">
        <f t="shared" si="9"/>
        <v/>
      </c>
      <c r="F196" s="111" t="str">
        <f t="shared" si="10"/>
        <v/>
      </c>
    </row>
    <row r="197" spans="1:6" x14ac:dyDescent="0.25">
      <c r="A197" s="116" t="s">
        <v>1228</v>
      </c>
      <c r="B197" s="114"/>
      <c r="C197" s="111" t="str">
        <f t="shared" si="8"/>
        <v/>
      </c>
      <c r="D197" s="115"/>
      <c r="E197" s="113" t="str">
        <f t="shared" si="9"/>
        <v/>
      </c>
      <c r="F197" s="111" t="str">
        <f t="shared" si="10"/>
        <v/>
      </c>
    </row>
    <row r="198" spans="1:6" x14ac:dyDescent="0.25">
      <c r="A198" s="116" t="s">
        <v>1229</v>
      </c>
      <c r="B198" s="114"/>
      <c r="C198" s="111" t="str">
        <f t="shared" si="8"/>
        <v/>
      </c>
      <c r="D198" s="115"/>
      <c r="E198" s="113" t="str">
        <f t="shared" si="9"/>
        <v/>
      </c>
      <c r="F198" s="111" t="str">
        <f t="shared" si="10"/>
        <v/>
      </c>
    </row>
    <row r="199" spans="1:6" x14ac:dyDescent="0.25">
      <c r="A199" s="116" t="s">
        <v>1230</v>
      </c>
      <c r="B199" s="114"/>
      <c r="C199" s="111" t="str">
        <f t="shared" si="8"/>
        <v/>
      </c>
      <c r="D199" s="115"/>
      <c r="E199" s="113" t="str">
        <f t="shared" si="9"/>
        <v/>
      </c>
      <c r="F199" s="111" t="str">
        <f t="shared" si="10"/>
        <v/>
      </c>
    </row>
    <row r="200" spans="1:6" x14ac:dyDescent="0.25">
      <c r="A200" s="116" t="s">
        <v>1231</v>
      </c>
      <c r="B200" s="114"/>
      <c r="C200" s="111" t="str">
        <f t="shared" si="8"/>
        <v/>
      </c>
      <c r="D200" s="115"/>
      <c r="E200" s="113" t="str">
        <f t="shared" si="9"/>
        <v/>
      </c>
      <c r="F200" s="111" t="str">
        <f t="shared" si="10"/>
        <v/>
      </c>
    </row>
    <row r="201" spans="1:6" x14ac:dyDescent="0.25">
      <c r="A201" s="116" t="s">
        <v>1232</v>
      </c>
      <c r="B201" s="114"/>
      <c r="C201" s="111" t="str">
        <f t="shared" si="8"/>
        <v/>
      </c>
      <c r="D201" s="115"/>
      <c r="E201" s="113" t="str">
        <f t="shared" si="9"/>
        <v/>
      </c>
      <c r="F201" s="111" t="str">
        <f t="shared" si="10"/>
        <v/>
      </c>
    </row>
    <row r="202" spans="1:6" x14ac:dyDescent="0.25">
      <c r="A202" s="116" t="s">
        <v>1233</v>
      </c>
      <c r="B202" s="114"/>
      <c r="C202" s="111" t="str">
        <f t="shared" ref="C202:C265" si="11">IF(ISNA(VLOOKUP(B202,$A$1:$A$1000,1,FALSE)),"","Yes")</f>
        <v/>
      </c>
      <c r="D202" s="115"/>
      <c r="E202" s="113" t="str">
        <f t="shared" si="9"/>
        <v/>
      </c>
      <c r="F202" s="111" t="str">
        <f t="shared" si="10"/>
        <v/>
      </c>
    </row>
    <row r="203" spans="1:6" x14ac:dyDescent="0.25">
      <c r="A203" s="116" t="s">
        <v>1234</v>
      </c>
      <c r="B203" s="114"/>
      <c r="C203" s="111" t="str">
        <f t="shared" si="11"/>
        <v/>
      </c>
      <c r="D203" s="115"/>
      <c r="E203" s="113" t="str">
        <f t="shared" si="9"/>
        <v/>
      </c>
      <c r="F203" s="111" t="str">
        <f t="shared" si="10"/>
        <v/>
      </c>
    </row>
    <row r="204" spans="1:6" x14ac:dyDescent="0.25">
      <c r="A204" s="116" t="s">
        <v>1235</v>
      </c>
      <c r="B204" s="114"/>
      <c r="C204" s="111" t="str">
        <f t="shared" si="11"/>
        <v/>
      </c>
      <c r="D204" s="115"/>
      <c r="E204" s="113" t="str">
        <f t="shared" si="9"/>
        <v/>
      </c>
      <c r="F204" s="111" t="str">
        <f t="shared" si="10"/>
        <v/>
      </c>
    </row>
    <row r="205" spans="1:6" x14ac:dyDescent="0.25">
      <c r="A205" s="116" t="s">
        <v>795</v>
      </c>
      <c r="B205" s="114"/>
      <c r="C205" s="111" t="str">
        <f t="shared" si="11"/>
        <v/>
      </c>
      <c r="D205" s="115"/>
      <c r="E205" s="113" t="str">
        <f t="shared" si="9"/>
        <v/>
      </c>
      <c r="F205" s="111" t="str">
        <f t="shared" si="10"/>
        <v/>
      </c>
    </row>
    <row r="206" spans="1:6" x14ac:dyDescent="0.25">
      <c r="A206" s="116" t="s">
        <v>788</v>
      </c>
      <c r="B206" s="114"/>
      <c r="C206" s="111" t="str">
        <f t="shared" si="11"/>
        <v/>
      </c>
      <c r="D206" s="115"/>
      <c r="E206" s="113" t="str">
        <f t="shared" si="9"/>
        <v/>
      </c>
      <c r="F206" s="111" t="str">
        <f t="shared" si="10"/>
        <v/>
      </c>
    </row>
    <row r="207" spans="1:6" x14ac:dyDescent="0.25">
      <c r="A207" s="116" t="s">
        <v>789</v>
      </c>
      <c r="B207" s="114"/>
      <c r="C207" s="111" t="str">
        <f t="shared" si="11"/>
        <v/>
      </c>
      <c r="D207" s="115"/>
      <c r="E207" s="113" t="str">
        <f t="shared" si="9"/>
        <v/>
      </c>
      <c r="F207" s="111" t="str">
        <f t="shared" si="10"/>
        <v/>
      </c>
    </row>
    <row r="208" spans="1:6" x14ac:dyDescent="0.25">
      <c r="A208" s="116" t="s">
        <v>790</v>
      </c>
      <c r="B208" s="114"/>
      <c r="C208" s="111" t="str">
        <f t="shared" si="11"/>
        <v/>
      </c>
      <c r="D208" s="115"/>
      <c r="E208" s="113" t="str">
        <f t="shared" si="9"/>
        <v/>
      </c>
      <c r="F208" s="111" t="str">
        <f t="shared" si="10"/>
        <v/>
      </c>
    </row>
    <row r="209" spans="1:6" x14ac:dyDescent="0.25">
      <c r="A209" s="116" t="s">
        <v>1236</v>
      </c>
      <c r="B209" s="114"/>
      <c r="C209" s="111" t="str">
        <f t="shared" si="11"/>
        <v/>
      </c>
      <c r="D209" s="115"/>
      <c r="E209" s="113" t="str">
        <f t="shared" si="9"/>
        <v/>
      </c>
      <c r="F209" s="111" t="str">
        <f t="shared" si="10"/>
        <v/>
      </c>
    </row>
    <row r="210" spans="1:6" x14ac:dyDescent="0.25">
      <c r="A210" s="116" t="s">
        <v>1237</v>
      </c>
      <c r="B210" s="114"/>
      <c r="C210" s="111" t="str">
        <f t="shared" si="11"/>
        <v/>
      </c>
      <c r="D210" s="115"/>
      <c r="E210" s="113" t="str">
        <f t="shared" si="9"/>
        <v/>
      </c>
      <c r="F210" s="111" t="str">
        <f t="shared" si="10"/>
        <v/>
      </c>
    </row>
    <row r="211" spans="1:6" x14ac:dyDescent="0.25">
      <c r="A211" s="116" t="s">
        <v>1238</v>
      </c>
      <c r="B211" s="114"/>
      <c r="C211" s="111" t="str">
        <f t="shared" si="11"/>
        <v/>
      </c>
      <c r="D211" s="115"/>
      <c r="E211" s="113" t="str">
        <f t="shared" si="9"/>
        <v/>
      </c>
      <c r="F211" s="111" t="str">
        <f t="shared" si="10"/>
        <v/>
      </c>
    </row>
    <row r="212" spans="1:6" x14ac:dyDescent="0.25">
      <c r="A212" s="116" t="s">
        <v>1239</v>
      </c>
      <c r="B212" s="114"/>
      <c r="C212" s="111" t="str">
        <f t="shared" si="11"/>
        <v/>
      </c>
      <c r="D212" s="115"/>
      <c r="E212" s="113" t="str">
        <f t="shared" si="9"/>
        <v/>
      </c>
      <c r="F212" s="111" t="str">
        <f t="shared" si="10"/>
        <v/>
      </c>
    </row>
    <row r="213" spans="1:6" x14ac:dyDescent="0.25">
      <c r="A213" s="116" t="s">
        <v>1240</v>
      </c>
      <c r="B213" s="114"/>
      <c r="C213" s="111" t="str">
        <f t="shared" si="11"/>
        <v/>
      </c>
      <c r="D213" s="115"/>
      <c r="E213" s="113" t="str">
        <f t="shared" si="9"/>
        <v/>
      </c>
      <c r="F213" s="111" t="str">
        <f t="shared" si="10"/>
        <v/>
      </c>
    </row>
    <row r="214" spans="1:6" x14ac:dyDescent="0.25">
      <c r="A214" s="116" t="s">
        <v>1241</v>
      </c>
      <c r="B214" s="114"/>
      <c r="C214" s="111" t="str">
        <f t="shared" si="11"/>
        <v/>
      </c>
      <c r="D214" s="115"/>
      <c r="E214" s="113" t="str">
        <f t="shared" si="9"/>
        <v/>
      </c>
      <c r="F214" s="111" t="str">
        <f t="shared" si="10"/>
        <v/>
      </c>
    </row>
    <row r="215" spans="1:6" x14ac:dyDescent="0.25">
      <c r="A215" s="116" t="s">
        <v>1242</v>
      </c>
      <c r="B215" s="114"/>
      <c r="C215" s="111" t="str">
        <f t="shared" si="11"/>
        <v/>
      </c>
      <c r="D215" s="115"/>
      <c r="E215" s="113" t="str">
        <f t="shared" si="9"/>
        <v/>
      </c>
      <c r="F215" s="111" t="str">
        <f t="shared" si="10"/>
        <v/>
      </c>
    </row>
    <row r="216" spans="1:6" x14ac:dyDescent="0.25">
      <c r="A216" s="116" t="s">
        <v>1243</v>
      </c>
      <c r="B216" s="114"/>
      <c r="C216" s="111" t="str">
        <f t="shared" si="11"/>
        <v/>
      </c>
      <c r="D216" s="115"/>
      <c r="E216" s="113" t="str">
        <f t="shared" si="9"/>
        <v/>
      </c>
      <c r="F216" s="111" t="str">
        <f t="shared" si="10"/>
        <v/>
      </c>
    </row>
    <row r="217" spans="1:6" x14ac:dyDescent="0.25">
      <c r="A217" s="116" t="s">
        <v>1244</v>
      </c>
      <c r="B217" s="114"/>
      <c r="C217" s="111" t="str">
        <f t="shared" si="11"/>
        <v/>
      </c>
      <c r="D217" s="115"/>
      <c r="E217" s="113" t="str">
        <f t="shared" si="9"/>
        <v/>
      </c>
      <c r="F217" s="111" t="str">
        <f t="shared" si="10"/>
        <v/>
      </c>
    </row>
    <row r="218" spans="1:6" x14ac:dyDescent="0.25">
      <c r="A218" s="116" t="s">
        <v>791</v>
      </c>
      <c r="B218" s="114"/>
      <c r="C218" s="111" t="str">
        <f t="shared" si="11"/>
        <v/>
      </c>
      <c r="D218" s="115"/>
      <c r="E218" s="113" t="str">
        <f t="shared" si="9"/>
        <v/>
      </c>
      <c r="F218" s="111" t="str">
        <f t="shared" si="10"/>
        <v/>
      </c>
    </row>
    <row r="219" spans="1:6" x14ac:dyDescent="0.25">
      <c r="A219" s="116" t="s">
        <v>792</v>
      </c>
      <c r="B219" s="114"/>
      <c r="C219" s="111" t="str">
        <f t="shared" si="11"/>
        <v/>
      </c>
      <c r="D219" s="115"/>
      <c r="E219" s="113" t="str">
        <f t="shared" si="9"/>
        <v/>
      </c>
      <c r="F219" s="111" t="str">
        <f t="shared" si="10"/>
        <v/>
      </c>
    </row>
    <row r="220" spans="1:6" x14ac:dyDescent="0.25">
      <c r="A220" s="116" t="s">
        <v>793</v>
      </c>
      <c r="B220" s="114"/>
      <c r="C220" s="111" t="str">
        <f t="shared" si="11"/>
        <v/>
      </c>
      <c r="D220" s="115"/>
      <c r="E220" s="113" t="str">
        <f t="shared" si="9"/>
        <v/>
      </c>
      <c r="F220" s="111" t="str">
        <f t="shared" si="10"/>
        <v/>
      </c>
    </row>
    <row r="221" spans="1:6" x14ac:dyDescent="0.25">
      <c r="A221" s="116" t="s">
        <v>794</v>
      </c>
      <c r="B221" s="114"/>
      <c r="C221" s="111" t="str">
        <f t="shared" si="11"/>
        <v/>
      </c>
      <c r="D221" s="115"/>
      <c r="E221" s="113" t="str">
        <f t="shared" si="9"/>
        <v/>
      </c>
      <c r="F221" s="111" t="str">
        <f t="shared" si="10"/>
        <v/>
      </c>
    </row>
    <row r="222" spans="1:6" x14ac:dyDescent="0.25">
      <c r="A222" s="116" t="s">
        <v>1245</v>
      </c>
      <c r="B222" s="114"/>
      <c r="C222" s="111" t="str">
        <f t="shared" si="11"/>
        <v/>
      </c>
      <c r="D222" s="115"/>
      <c r="E222" s="113" t="str">
        <f t="shared" si="9"/>
        <v/>
      </c>
      <c r="F222" s="111" t="str">
        <f t="shared" si="10"/>
        <v/>
      </c>
    </row>
    <row r="223" spans="1:6" x14ac:dyDescent="0.25">
      <c r="A223" s="116" t="s">
        <v>1246</v>
      </c>
      <c r="B223" s="114"/>
      <c r="C223" s="111" t="str">
        <f t="shared" si="11"/>
        <v/>
      </c>
      <c r="D223" s="115"/>
      <c r="E223" s="113" t="str">
        <f t="shared" si="9"/>
        <v/>
      </c>
      <c r="F223" s="111" t="str">
        <f t="shared" si="10"/>
        <v/>
      </c>
    </row>
    <row r="224" spans="1:6" x14ac:dyDescent="0.25">
      <c r="A224" s="116" t="s">
        <v>1247</v>
      </c>
      <c r="B224" s="114"/>
      <c r="C224" s="111" t="str">
        <f t="shared" si="11"/>
        <v/>
      </c>
      <c r="D224" s="115"/>
      <c r="E224" s="113" t="str">
        <f t="shared" si="9"/>
        <v/>
      </c>
      <c r="F224" s="111" t="str">
        <f t="shared" si="10"/>
        <v/>
      </c>
    </row>
    <row r="225" spans="1:6" x14ac:dyDescent="0.25">
      <c r="A225" s="116" t="s">
        <v>1248</v>
      </c>
      <c r="B225" s="114"/>
      <c r="C225" s="111" t="str">
        <f t="shared" si="11"/>
        <v/>
      </c>
      <c r="D225" s="115"/>
      <c r="E225" s="113" t="str">
        <f t="shared" si="9"/>
        <v/>
      </c>
      <c r="F225" s="111" t="str">
        <f t="shared" si="10"/>
        <v/>
      </c>
    </row>
    <row r="226" spans="1:6" x14ac:dyDescent="0.25">
      <c r="A226" s="116" t="s">
        <v>1249</v>
      </c>
      <c r="B226" s="114"/>
      <c r="C226" s="111" t="str">
        <f t="shared" si="11"/>
        <v/>
      </c>
      <c r="D226" s="115"/>
      <c r="E226" s="113" t="str">
        <f t="shared" si="9"/>
        <v/>
      </c>
      <c r="F226" s="111" t="str">
        <f t="shared" si="10"/>
        <v/>
      </c>
    </row>
    <row r="227" spans="1:6" x14ac:dyDescent="0.25">
      <c r="A227" s="116" t="s">
        <v>1250</v>
      </c>
      <c r="B227" s="114"/>
      <c r="C227" s="111" t="str">
        <f t="shared" si="11"/>
        <v/>
      </c>
      <c r="D227" s="115"/>
      <c r="E227" s="113" t="str">
        <f t="shared" si="9"/>
        <v/>
      </c>
      <c r="F227" s="111" t="str">
        <f t="shared" si="10"/>
        <v/>
      </c>
    </row>
    <row r="228" spans="1:6" x14ac:dyDescent="0.25">
      <c r="A228" s="116" t="s">
        <v>1251</v>
      </c>
      <c r="B228" s="114"/>
      <c r="C228" s="111" t="str">
        <f t="shared" si="11"/>
        <v/>
      </c>
      <c r="D228" s="115"/>
      <c r="E228" s="113" t="str">
        <f t="shared" si="9"/>
        <v/>
      </c>
      <c r="F228" s="111" t="str">
        <f t="shared" si="10"/>
        <v/>
      </c>
    </row>
    <row r="229" spans="1:6" x14ac:dyDescent="0.25">
      <c r="A229" s="116" t="s">
        <v>1252</v>
      </c>
      <c r="B229" s="114"/>
      <c r="C229" s="111" t="str">
        <f t="shared" si="11"/>
        <v/>
      </c>
      <c r="D229" s="115"/>
      <c r="E229" s="113" t="str">
        <f t="shared" si="9"/>
        <v/>
      </c>
      <c r="F229" s="111" t="str">
        <f t="shared" si="10"/>
        <v/>
      </c>
    </row>
    <row r="230" spans="1:6" x14ac:dyDescent="0.25">
      <c r="A230" s="116" t="s">
        <v>1253</v>
      </c>
      <c r="B230" s="114"/>
      <c r="C230" s="111" t="str">
        <f t="shared" si="11"/>
        <v/>
      </c>
      <c r="D230" s="115"/>
      <c r="E230" s="113" t="str">
        <f t="shared" si="9"/>
        <v/>
      </c>
      <c r="F230" s="111" t="str">
        <f t="shared" si="10"/>
        <v/>
      </c>
    </row>
    <row r="231" spans="1:6" x14ac:dyDescent="0.25">
      <c r="A231" s="116" t="s">
        <v>1254</v>
      </c>
      <c r="B231" s="114"/>
      <c r="C231" s="111" t="str">
        <f t="shared" si="11"/>
        <v/>
      </c>
      <c r="D231" s="115"/>
      <c r="E231" s="113" t="str">
        <f t="shared" si="9"/>
        <v/>
      </c>
      <c r="F231" s="111" t="str">
        <f t="shared" si="10"/>
        <v/>
      </c>
    </row>
    <row r="232" spans="1:6" x14ac:dyDescent="0.25">
      <c r="A232" s="116" t="s">
        <v>1255</v>
      </c>
      <c r="B232" s="114"/>
      <c r="C232" s="111" t="str">
        <f t="shared" si="11"/>
        <v/>
      </c>
      <c r="D232" s="115"/>
      <c r="E232" s="113" t="str">
        <f t="shared" si="9"/>
        <v/>
      </c>
      <c r="F232" s="111" t="str">
        <f t="shared" si="10"/>
        <v/>
      </c>
    </row>
    <row r="233" spans="1:6" x14ac:dyDescent="0.25">
      <c r="A233" s="116" t="s">
        <v>1256</v>
      </c>
      <c r="B233" s="114"/>
      <c r="C233" s="111" t="str">
        <f t="shared" si="11"/>
        <v/>
      </c>
      <c r="D233" s="115"/>
      <c r="E233" s="113" t="str">
        <f t="shared" si="9"/>
        <v/>
      </c>
      <c r="F233" s="111" t="str">
        <f t="shared" si="10"/>
        <v/>
      </c>
    </row>
    <row r="234" spans="1:6" x14ac:dyDescent="0.25">
      <c r="A234" s="116" t="s">
        <v>1257</v>
      </c>
      <c r="B234" s="114"/>
      <c r="C234" s="111" t="str">
        <f t="shared" si="11"/>
        <v/>
      </c>
      <c r="D234" s="115"/>
      <c r="E234" s="113" t="str">
        <f t="shared" si="9"/>
        <v/>
      </c>
      <c r="F234" s="111" t="str">
        <f t="shared" si="10"/>
        <v/>
      </c>
    </row>
    <row r="235" spans="1:6" x14ac:dyDescent="0.25">
      <c r="A235" s="116" t="s">
        <v>1258</v>
      </c>
      <c r="B235" s="114"/>
      <c r="C235" s="111" t="str">
        <f t="shared" si="11"/>
        <v/>
      </c>
      <c r="D235" s="115"/>
      <c r="E235" s="113" t="str">
        <f t="shared" si="9"/>
        <v/>
      </c>
      <c r="F235" s="111" t="str">
        <f t="shared" si="10"/>
        <v/>
      </c>
    </row>
    <row r="236" spans="1:6" x14ac:dyDescent="0.25">
      <c r="A236" s="116" t="s">
        <v>1259</v>
      </c>
      <c r="B236" s="114"/>
      <c r="C236" s="111" t="str">
        <f t="shared" si="11"/>
        <v/>
      </c>
      <c r="D236" s="115"/>
      <c r="E236" s="113" t="str">
        <f t="shared" si="9"/>
        <v/>
      </c>
      <c r="F236" s="111" t="str">
        <f t="shared" si="10"/>
        <v/>
      </c>
    </row>
    <row r="237" spans="1:6" x14ac:dyDescent="0.25">
      <c r="A237" s="116" t="s">
        <v>1260</v>
      </c>
      <c r="B237" s="114"/>
      <c r="C237" s="111" t="str">
        <f t="shared" si="11"/>
        <v/>
      </c>
      <c r="D237" s="115"/>
      <c r="E237" s="113" t="str">
        <f t="shared" si="9"/>
        <v/>
      </c>
      <c r="F237" s="111" t="str">
        <f t="shared" si="10"/>
        <v/>
      </c>
    </row>
    <row r="238" spans="1:6" x14ac:dyDescent="0.25">
      <c r="A238" s="116" t="s">
        <v>1261</v>
      </c>
      <c r="B238" s="114"/>
      <c r="C238" s="111" t="str">
        <f t="shared" si="11"/>
        <v/>
      </c>
      <c r="D238" s="115"/>
      <c r="E238" s="113" t="str">
        <f t="shared" si="9"/>
        <v/>
      </c>
      <c r="F238" s="111" t="str">
        <f t="shared" si="10"/>
        <v/>
      </c>
    </row>
    <row r="239" spans="1:6" x14ac:dyDescent="0.25">
      <c r="A239" s="116" t="s">
        <v>783</v>
      </c>
      <c r="B239" s="114"/>
      <c r="C239" s="111" t="str">
        <f t="shared" si="11"/>
        <v/>
      </c>
      <c r="D239" s="115"/>
      <c r="E239" s="113" t="str">
        <f t="shared" si="9"/>
        <v/>
      </c>
      <c r="F239" s="111" t="str">
        <f t="shared" si="10"/>
        <v/>
      </c>
    </row>
    <row r="240" spans="1:6" x14ac:dyDescent="0.25">
      <c r="A240" s="116" t="s">
        <v>784</v>
      </c>
      <c r="B240" s="114"/>
      <c r="C240" s="111" t="str">
        <f t="shared" si="11"/>
        <v/>
      </c>
      <c r="D240" s="115"/>
      <c r="E240" s="113" t="str">
        <f t="shared" si="9"/>
        <v/>
      </c>
      <c r="F240" s="111" t="str">
        <f t="shared" si="10"/>
        <v/>
      </c>
    </row>
    <row r="241" spans="1:6" x14ac:dyDescent="0.25">
      <c r="A241" s="116" t="s">
        <v>785</v>
      </c>
      <c r="B241" s="114"/>
      <c r="C241" s="111" t="str">
        <f t="shared" si="11"/>
        <v/>
      </c>
      <c r="D241" s="115"/>
      <c r="E241" s="113" t="str">
        <f t="shared" si="9"/>
        <v/>
      </c>
      <c r="F241" s="111" t="str">
        <f t="shared" si="10"/>
        <v/>
      </c>
    </row>
    <row r="242" spans="1:6" x14ac:dyDescent="0.25">
      <c r="A242" s="116" t="s">
        <v>786</v>
      </c>
      <c r="B242" s="114"/>
      <c r="C242" s="111" t="str">
        <f t="shared" si="11"/>
        <v/>
      </c>
      <c r="D242" s="115"/>
      <c r="E242" s="113" t="str">
        <f t="shared" si="9"/>
        <v/>
      </c>
      <c r="F242" s="111" t="str">
        <f t="shared" si="10"/>
        <v/>
      </c>
    </row>
    <row r="243" spans="1:6" x14ac:dyDescent="0.25">
      <c r="A243" s="116" t="s">
        <v>787</v>
      </c>
      <c r="B243" s="114"/>
      <c r="C243" s="111" t="str">
        <f t="shared" si="11"/>
        <v/>
      </c>
      <c r="D243" s="115"/>
      <c r="E243" s="113" t="str">
        <f t="shared" si="9"/>
        <v/>
      </c>
      <c r="F243" s="111" t="str">
        <f t="shared" si="10"/>
        <v/>
      </c>
    </row>
    <row r="244" spans="1:6" x14ac:dyDescent="0.25">
      <c r="A244" s="116" t="s">
        <v>1262</v>
      </c>
      <c r="B244" s="114"/>
      <c r="C244" s="111" t="str">
        <f t="shared" si="11"/>
        <v/>
      </c>
      <c r="D244" s="115"/>
      <c r="E244" s="113" t="str">
        <f t="shared" si="9"/>
        <v/>
      </c>
      <c r="F244" s="111" t="str">
        <f t="shared" si="10"/>
        <v/>
      </c>
    </row>
    <row r="245" spans="1:6" x14ac:dyDescent="0.25">
      <c r="A245" s="116" t="s">
        <v>1263</v>
      </c>
      <c r="B245" s="114"/>
      <c r="C245" s="111" t="str">
        <f t="shared" si="11"/>
        <v/>
      </c>
      <c r="D245" s="115"/>
      <c r="E245" s="113" t="str">
        <f t="shared" si="9"/>
        <v/>
      </c>
      <c r="F245" s="111" t="str">
        <f t="shared" si="10"/>
        <v/>
      </c>
    </row>
    <row r="246" spans="1:6" x14ac:dyDescent="0.25">
      <c r="A246" s="116" t="s">
        <v>1264</v>
      </c>
      <c r="B246" s="114"/>
      <c r="C246" s="111" t="str">
        <f t="shared" si="11"/>
        <v/>
      </c>
      <c r="D246" s="115"/>
      <c r="E246" s="113" t="str">
        <f t="shared" si="9"/>
        <v/>
      </c>
      <c r="F246" s="111" t="str">
        <f t="shared" si="10"/>
        <v/>
      </c>
    </row>
    <row r="247" spans="1:6" x14ac:dyDescent="0.25">
      <c r="A247" s="116" t="s">
        <v>1265</v>
      </c>
      <c r="B247" s="114"/>
      <c r="C247" s="111" t="str">
        <f t="shared" si="11"/>
        <v/>
      </c>
      <c r="D247" s="115"/>
      <c r="E247" s="113" t="str">
        <f t="shared" si="9"/>
        <v/>
      </c>
      <c r="F247" s="111" t="str">
        <f t="shared" si="10"/>
        <v/>
      </c>
    </row>
    <row r="248" spans="1:6" x14ac:dyDescent="0.25">
      <c r="A248" s="116" t="s">
        <v>1266</v>
      </c>
      <c r="B248" s="114"/>
      <c r="C248" s="111" t="str">
        <f t="shared" si="11"/>
        <v/>
      </c>
      <c r="D248" s="115"/>
      <c r="E248" s="113" t="str">
        <f t="shared" si="9"/>
        <v/>
      </c>
      <c r="F248" s="111" t="str">
        <f t="shared" si="10"/>
        <v/>
      </c>
    </row>
    <row r="249" spans="1:6" x14ac:dyDescent="0.25">
      <c r="A249" s="116" t="s">
        <v>777</v>
      </c>
      <c r="B249" s="114"/>
      <c r="C249" s="111" t="str">
        <f t="shared" si="11"/>
        <v/>
      </c>
      <c r="D249" s="115"/>
      <c r="E249" s="113" t="str">
        <f t="shared" si="9"/>
        <v/>
      </c>
      <c r="F249" s="111" t="str">
        <f t="shared" si="10"/>
        <v/>
      </c>
    </row>
    <row r="250" spans="1:6" x14ac:dyDescent="0.25">
      <c r="A250" s="116" t="s">
        <v>778</v>
      </c>
      <c r="B250" s="114"/>
      <c r="C250" s="111" t="str">
        <f t="shared" si="11"/>
        <v/>
      </c>
      <c r="D250" s="115"/>
      <c r="E250" s="113" t="str">
        <f t="shared" si="9"/>
        <v/>
      </c>
      <c r="F250" s="111" t="str">
        <f t="shared" si="10"/>
        <v/>
      </c>
    </row>
    <row r="251" spans="1:6" x14ac:dyDescent="0.25">
      <c r="A251" s="116" t="s">
        <v>779</v>
      </c>
      <c r="B251" s="114"/>
      <c r="C251" s="111" t="str">
        <f t="shared" si="11"/>
        <v/>
      </c>
      <c r="D251" s="115"/>
      <c r="E251" s="113" t="str">
        <f t="shared" si="9"/>
        <v/>
      </c>
      <c r="F251" s="111" t="str">
        <f t="shared" si="10"/>
        <v/>
      </c>
    </row>
    <row r="252" spans="1:6" x14ac:dyDescent="0.25">
      <c r="A252" s="116" t="s">
        <v>780</v>
      </c>
      <c r="B252" s="114"/>
      <c r="C252" s="111" t="str">
        <f t="shared" si="11"/>
        <v/>
      </c>
      <c r="D252" s="115"/>
      <c r="E252" s="113" t="str">
        <f t="shared" si="9"/>
        <v/>
      </c>
      <c r="F252" s="111" t="str">
        <f t="shared" si="10"/>
        <v/>
      </c>
    </row>
    <row r="253" spans="1:6" x14ac:dyDescent="0.25">
      <c r="A253" s="116" t="s">
        <v>781</v>
      </c>
      <c r="B253" s="114"/>
      <c r="C253" s="111" t="str">
        <f t="shared" si="11"/>
        <v/>
      </c>
      <c r="D253" s="115"/>
      <c r="E253" s="113" t="str">
        <f t="shared" si="9"/>
        <v/>
      </c>
      <c r="F253" s="111" t="str">
        <f t="shared" si="10"/>
        <v/>
      </c>
    </row>
    <row r="254" spans="1:6" x14ac:dyDescent="0.25">
      <c r="A254" s="116" t="s">
        <v>782</v>
      </c>
      <c r="B254" s="114"/>
      <c r="C254" s="111" t="str">
        <f t="shared" si="11"/>
        <v/>
      </c>
      <c r="D254" s="115"/>
      <c r="E254" s="113" t="str">
        <f t="shared" si="9"/>
        <v/>
      </c>
      <c r="F254" s="111" t="str">
        <f t="shared" si="10"/>
        <v/>
      </c>
    </row>
    <row r="255" spans="1:6" x14ac:dyDescent="0.25">
      <c r="A255" s="116" t="s">
        <v>1267</v>
      </c>
      <c r="B255" s="114"/>
      <c r="C255" s="111" t="str">
        <f t="shared" si="11"/>
        <v/>
      </c>
      <c r="D255" s="115"/>
      <c r="E255" s="113" t="str">
        <f t="shared" si="9"/>
        <v/>
      </c>
      <c r="F255" s="111" t="str">
        <f t="shared" si="10"/>
        <v/>
      </c>
    </row>
    <row r="256" spans="1:6" x14ac:dyDescent="0.25">
      <c r="A256" s="116" t="s">
        <v>1268</v>
      </c>
      <c r="B256" s="114"/>
      <c r="C256" s="111" t="str">
        <f t="shared" si="11"/>
        <v/>
      </c>
      <c r="D256" s="115"/>
      <c r="E256" s="113" t="str">
        <f t="shared" si="9"/>
        <v/>
      </c>
      <c r="F256" s="111" t="str">
        <f t="shared" si="10"/>
        <v/>
      </c>
    </row>
    <row r="257" spans="1:6" x14ac:dyDescent="0.25">
      <c r="A257" s="116" t="s">
        <v>1269</v>
      </c>
      <c r="B257" s="114"/>
      <c r="C257" s="111" t="str">
        <f t="shared" si="11"/>
        <v/>
      </c>
      <c r="D257" s="115"/>
      <c r="E257" s="113" t="str">
        <f t="shared" si="9"/>
        <v/>
      </c>
      <c r="F257" s="111" t="str">
        <f t="shared" si="10"/>
        <v/>
      </c>
    </row>
    <row r="258" spans="1:6" x14ac:dyDescent="0.25">
      <c r="A258" s="116" t="s">
        <v>1270</v>
      </c>
      <c r="B258" s="114"/>
      <c r="C258" s="111" t="str">
        <f t="shared" si="11"/>
        <v/>
      </c>
      <c r="D258" s="115"/>
      <c r="E258" s="113" t="str">
        <f t="shared" si="9"/>
        <v/>
      </c>
      <c r="F258" s="111" t="str">
        <f t="shared" si="10"/>
        <v/>
      </c>
    </row>
    <row r="259" spans="1:6" x14ac:dyDescent="0.25">
      <c r="A259" s="116" t="s">
        <v>1271</v>
      </c>
      <c r="B259" s="114"/>
      <c r="C259" s="111" t="str">
        <f t="shared" si="11"/>
        <v/>
      </c>
      <c r="D259" s="115"/>
      <c r="E259" s="113" t="str">
        <f t="shared" ref="E259:E322" si="12">IFERROR(MATCH(A259,$D$2:$D$1000,),"")</f>
        <v/>
      </c>
      <c r="F259" s="111" t="str">
        <f t="shared" ref="F259:F322" si="13">IF(E259&lt;&gt;"",INDEX($D$2:$D$1000,E259,1),"")</f>
        <v/>
      </c>
    </row>
    <row r="260" spans="1:6" x14ac:dyDescent="0.25">
      <c r="A260" s="116" t="s">
        <v>1272</v>
      </c>
      <c r="B260" s="114"/>
      <c r="C260" s="111" t="str">
        <f t="shared" si="11"/>
        <v/>
      </c>
      <c r="D260" s="115"/>
      <c r="E260" s="113" t="str">
        <f t="shared" si="12"/>
        <v/>
      </c>
      <c r="F260" s="111" t="str">
        <f t="shared" si="13"/>
        <v/>
      </c>
    </row>
    <row r="261" spans="1:6" x14ac:dyDescent="0.25">
      <c r="A261" s="116" t="s">
        <v>1273</v>
      </c>
      <c r="B261" s="114"/>
      <c r="C261" s="111" t="str">
        <f t="shared" si="11"/>
        <v/>
      </c>
      <c r="D261" s="115"/>
      <c r="E261" s="113" t="str">
        <f t="shared" si="12"/>
        <v/>
      </c>
      <c r="F261" s="111" t="str">
        <f t="shared" si="13"/>
        <v/>
      </c>
    </row>
    <row r="262" spans="1:6" x14ac:dyDescent="0.25">
      <c r="A262" s="116" t="s">
        <v>1274</v>
      </c>
      <c r="B262" s="114"/>
      <c r="C262" s="111" t="str">
        <f t="shared" si="11"/>
        <v/>
      </c>
      <c r="D262" s="115"/>
      <c r="E262" s="113" t="str">
        <f t="shared" si="12"/>
        <v/>
      </c>
      <c r="F262" s="111" t="str">
        <f t="shared" si="13"/>
        <v/>
      </c>
    </row>
    <row r="263" spans="1:6" x14ac:dyDescent="0.25">
      <c r="A263" s="116" t="s">
        <v>1275</v>
      </c>
      <c r="B263" s="114"/>
      <c r="C263" s="111" t="str">
        <f t="shared" si="11"/>
        <v/>
      </c>
      <c r="D263" s="115"/>
      <c r="E263" s="113" t="str">
        <f t="shared" si="12"/>
        <v/>
      </c>
      <c r="F263" s="111" t="str">
        <f t="shared" si="13"/>
        <v/>
      </c>
    </row>
    <row r="264" spans="1:6" x14ac:dyDescent="0.25">
      <c r="A264" s="116" t="s">
        <v>1276</v>
      </c>
      <c r="B264" s="114"/>
      <c r="C264" s="111" t="str">
        <f t="shared" si="11"/>
        <v/>
      </c>
      <c r="D264" s="115"/>
      <c r="E264" s="113" t="str">
        <f t="shared" si="12"/>
        <v/>
      </c>
      <c r="F264" s="111" t="str">
        <f t="shared" si="13"/>
        <v/>
      </c>
    </row>
    <row r="265" spans="1:6" x14ac:dyDescent="0.25">
      <c r="A265" s="116" t="s">
        <v>1277</v>
      </c>
      <c r="B265" s="114"/>
      <c r="C265" s="111" t="str">
        <f t="shared" si="11"/>
        <v/>
      </c>
      <c r="D265" s="115"/>
      <c r="E265" s="113" t="str">
        <f t="shared" si="12"/>
        <v/>
      </c>
      <c r="F265" s="111" t="str">
        <f t="shared" si="13"/>
        <v/>
      </c>
    </row>
    <row r="266" spans="1:6" x14ac:dyDescent="0.25">
      <c r="A266" s="116" t="s">
        <v>796</v>
      </c>
      <c r="B266" s="114"/>
      <c r="C266" s="111" t="str">
        <f t="shared" ref="C266:C329" si="14">IF(ISNA(VLOOKUP(B266,$A$1:$A$1000,1,FALSE)),"","Yes")</f>
        <v/>
      </c>
      <c r="D266" s="115"/>
      <c r="E266" s="113" t="str">
        <f t="shared" si="12"/>
        <v/>
      </c>
      <c r="F266" s="111" t="str">
        <f t="shared" si="13"/>
        <v/>
      </c>
    </row>
    <row r="267" spans="1:6" x14ac:dyDescent="0.25">
      <c r="A267" s="116" t="s">
        <v>1278</v>
      </c>
      <c r="B267" s="114"/>
      <c r="C267" s="111" t="str">
        <f t="shared" si="14"/>
        <v/>
      </c>
      <c r="D267" s="115"/>
      <c r="E267" s="113" t="str">
        <f t="shared" si="12"/>
        <v/>
      </c>
      <c r="F267" s="111" t="str">
        <f t="shared" si="13"/>
        <v/>
      </c>
    </row>
    <row r="268" spans="1:6" x14ac:dyDescent="0.25">
      <c r="A268" s="116" t="s">
        <v>1279</v>
      </c>
      <c r="B268" s="114"/>
      <c r="C268" s="111" t="str">
        <f t="shared" si="14"/>
        <v/>
      </c>
      <c r="D268" s="115"/>
      <c r="E268" s="113" t="str">
        <f t="shared" si="12"/>
        <v/>
      </c>
      <c r="F268" s="111" t="str">
        <f t="shared" si="13"/>
        <v/>
      </c>
    </row>
    <row r="269" spans="1:6" x14ac:dyDescent="0.25">
      <c r="A269" s="116" t="s">
        <v>1280</v>
      </c>
      <c r="B269" s="114"/>
      <c r="C269" s="111" t="str">
        <f t="shared" si="14"/>
        <v/>
      </c>
      <c r="D269" s="115"/>
      <c r="E269" s="113" t="str">
        <f t="shared" si="12"/>
        <v/>
      </c>
      <c r="F269" s="111" t="str">
        <f t="shared" si="13"/>
        <v/>
      </c>
    </row>
    <row r="270" spans="1:6" x14ac:dyDescent="0.25">
      <c r="A270" s="116" t="s">
        <v>1281</v>
      </c>
      <c r="B270" s="114"/>
      <c r="C270" s="111" t="str">
        <f t="shared" si="14"/>
        <v/>
      </c>
      <c r="D270" s="115"/>
      <c r="E270" s="113" t="str">
        <f t="shared" si="12"/>
        <v/>
      </c>
      <c r="F270" s="111" t="str">
        <f t="shared" si="13"/>
        <v/>
      </c>
    </row>
    <row r="271" spans="1:6" x14ac:dyDescent="0.25">
      <c r="A271" s="116" t="s">
        <v>1282</v>
      </c>
      <c r="B271" s="114"/>
      <c r="C271" s="111" t="str">
        <f t="shared" si="14"/>
        <v/>
      </c>
      <c r="D271" s="115"/>
      <c r="E271" s="113" t="str">
        <f t="shared" si="12"/>
        <v/>
      </c>
      <c r="F271" s="111" t="str">
        <f t="shared" si="13"/>
        <v/>
      </c>
    </row>
    <row r="272" spans="1:6" x14ac:dyDescent="0.25">
      <c r="A272" s="116" t="s">
        <v>1283</v>
      </c>
      <c r="B272" s="114"/>
      <c r="C272" s="111" t="str">
        <f t="shared" si="14"/>
        <v/>
      </c>
      <c r="D272" s="115"/>
      <c r="E272" s="113" t="str">
        <f t="shared" si="12"/>
        <v/>
      </c>
      <c r="F272" s="111" t="str">
        <f t="shared" si="13"/>
        <v/>
      </c>
    </row>
    <row r="273" spans="1:6" x14ac:dyDescent="0.25">
      <c r="A273" s="116" t="s">
        <v>1284</v>
      </c>
      <c r="B273" s="114"/>
      <c r="C273" s="111" t="str">
        <f t="shared" si="14"/>
        <v/>
      </c>
      <c r="D273" s="115"/>
      <c r="E273" s="113" t="str">
        <f t="shared" si="12"/>
        <v/>
      </c>
      <c r="F273" s="111" t="str">
        <f t="shared" si="13"/>
        <v/>
      </c>
    </row>
    <row r="274" spans="1:6" x14ac:dyDescent="0.25">
      <c r="A274" s="116" t="s">
        <v>1285</v>
      </c>
      <c r="B274" s="114"/>
      <c r="C274" s="111" t="str">
        <f t="shared" si="14"/>
        <v/>
      </c>
      <c r="D274" s="115"/>
      <c r="E274" s="113" t="str">
        <f t="shared" si="12"/>
        <v/>
      </c>
      <c r="F274" s="111" t="str">
        <f t="shared" si="13"/>
        <v/>
      </c>
    </row>
    <row r="275" spans="1:6" x14ac:dyDescent="0.25">
      <c r="A275" s="116" t="s">
        <v>1286</v>
      </c>
      <c r="B275" s="114"/>
      <c r="C275" s="111" t="str">
        <f t="shared" si="14"/>
        <v/>
      </c>
      <c r="D275" s="115"/>
      <c r="E275" s="113" t="str">
        <f t="shared" si="12"/>
        <v/>
      </c>
      <c r="F275" s="111" t="str">
        <f t="shared" si="13"/>
        <v/>
      </c>
    </row>
    <row r="276" spans="1:6" x14ac:dyDescent="0.25">
      <c r="A276" s="116" t="s">
        <v>1287</v>
      </c>
      <c r="B276" s="114"/>
      <c r="C276" s="111" t="str">
        <f t="shared" si="14"/>
        <v/>
      </c>
      <c r="D276" s="115"/>
      <c r="E276" s="113" t="str">
        <f t="shared" si="12"/>
        <v/>
      </c>
      <c r="F276" s="111" t="str">
        <f t="shared" si="13"/>
        <v/>
      </c>
    </row>
    <row r="277" spans="1:6" x14ac:dyDescent="0.25">
      <c r="A277" s="116" t="s">
        <v>1288</v>
      </c>
      <c r="B277" s="114"/>
      <c r="C277" s="111" t="str">
        <f t="shared" si="14"/>
        <v/>
      </c>
      <c r="D277" s="115"/>
      <c r="E277" s="113" t="str">
        <f t="shared" si="12"/>
        <v/>
      </c>
      <c r="F277" s="111" t="str">
        <f t="shared" si="13"/>
        <v/>
      </c>
    </row>
    <row r="278" spans="1:6" x14ac:dyDescent="0.25">
      <c r="A278" s="116" t="s">
        <v>1289</v>
      </c>
      <c r="B278" s="114"/>
      <c r="C278" s="111" t="str">
        <f t="shared" si="14"/>
        <v/>
      </c>
      <c r="D278" s="115"/>
      <c r="E278" s="113" t="str">
        <f t="shared" si="12"/>
        <v/>
      </c>
      <c r="F278" s="111" t="str">
        <f t="shared" si="13"/>
        <v/>
      </c>
    </row>
    <row r="279" spans="1:6" x14ac:dyDescent="0.25">
      <c r="A279" s="116" t="s">
        <v>1290</v>
      </c>
      <c r="B279" s="114"/>
      <c r="C279" s="111" t="str">
        <f t="shared" si="14"/>
        <v/>
      </c>
      <c r="D279" s="115"/>
      <c r="E279" s="113" t="str">
        <f t="shared" si="12"/>
        <v/>
      </c>
      <c r="F279" s="111" t="str">
        <f t="shared" si="13"/>
        <v/>
      </c>
    </row>
    <row r="280" spans="1:6" x14ac:dyDescent="0.25">
      <c r="A280" s="116" t="s">
        <v>1291</v>
      </c>
      <c r="B280" s="114"/>
      <c r="C280" s="111" t="str">
        <f t="shared" si="14"/>
        <v/>
      </c>
      <c r="D280" s="115"/>
      <c r="E280" s="113" t="str">
        <f t="shared" si="12"/>
        <v/>
      </c>
      <c r="F280" s="111" t="str">
        <f t="shared" si="13"/>
        <v/>
      </c>
    </row>
    <row r="281" spans="1:6" x14ac:dyDescent="0.25">
      <c r="A281" s="116" t="s">
        <v>1292</v>
      </c>
      <c r="B281" s="114"/>
      <c r="C281" s="111" t="str">
        <f t="shared" si="14"/>
        <v/>
      </c>
      <c r="D281" s="115"/>
      <c r="E281" s="113" t="str">
        <f t="shared" si="12"/>
        <v/>
      </c>
      <c r="F281" s="111" t="str">
        <f t="shared" si="13"/>
        <v/>
      </c>
    </row>
    <row r="282" spans="1:6" x14ac:dyDescent="0.25">
      <c r="A282" s="116" t="s">
        <v>1293</v>
      </c>
      <c r="B282" s="114"/>
      <c r="C282" s="111" t="str">
        <f t="shared" si="14"/>
        <v/>
      </c>
      <c r="D282" s="115"/>
      <c r="E282" s="113" t="str">
        <f t="shared" si="12"/>
        <v/>
      </c>
      <c r="F282" s="111" t="str">
        <f t="shared" si="13"/>
        <v/>
      </c>
    </row>
    <row r="283" spans="1:6" x14ac:dyDescent="0.25">
      <c r="A283" s="116" t="s">
        <v>1294</v>
      </c>
      <c r="B283" s="114"/>
      <c r="C283" s="111" t="str">
        <f t="shared" si="14"/>
        <v/>
      </c>
      <c r="D283" s="115"/>
      <c r="E283" s="113" t="str">
        <f t="shared" si="12"/>
        <v/>
      </c>
      <c r="F283" s="111" t="str">
        <f t="shared" si="13"/>
        <v/>
      </c>
    </row>
    <row r="284" spans="1:6" x14ac:dyDescent="0.25">
      <c r="A284" s="116" t="s">
        <v>798</v>
      </c>
      <c r="B284" s="114"/>
      <c r="C284" s="111" t="str">
        <f t="shared" si="14"/>
        <v/>
      </c>
      <c r="D284" s="115"/>
      <c r="E284" s="113" t="str">
        <f t="shared" si="12"/>
        <v/>
      </c>
      <c r="F284" s="111" t="str">
        <f t="shared" si="13"/>
        <v/>
      </c>
    </row>
    <row r="285" spans="1:6" x14ac:dyDescent="0.25">
      <c r="A285" s="116" t="s">
        <v>1295</v>
      </c>
      <c r="B285" s="114"/>
      <c r="C285" s="111" t="str">
        <f t="shared" si="14"/>
        <v/>
      </c>
      <c r="D285" s="115"/>
      <c r="E285" s="113" t="str">
        <f t="shared" si="12"/>
        <v/>
      </c>
      <c r="F285" s="111" t="str">
        <f t="shared" si="13"/>
        <v/>
      </c>
    </row>
    <row r="286" spans="1:6" x14ac:dyDescent="0.25">
      <c r="A286" s="116" t="s">
        <v>1296</v>
      </c>
      <c r="B286" s="114"/>
      <c r="C286" s="111" t="str">
        <f t="shared" si="14"/>
        <v/>
      </c>
      <c r="D286" s="115"/>
      <c r="E286" s="113" t="str">
        <f t="shared" si="12"/>
        <v/>
      </c>
      <c r="F286" s="111" t="str">
        <f t="shared" si="13"/>
        <v/>
      </c>
    </row>
    <row r="287" spans="1:6" x14ac:dyDescent="0.25">
      <c r="A287" s="116" t="s">
        <v>1297</v>
      </c>
      <c r="B287" s="114"/>
      <c r="C287" s="111" t="str">
        <f t="shared" si="14"/>
        <v/>
      </c>
      <c r="D287" s="115"/>
      <c r="E287" s="113" t="str">
        <f t="shared" si="12"/>
        <v/>
      </c>
      <c r="F287" s="111" t="str">
        <f t="shared" si="13"/>
        <v/>
      </c>
    </row>
    <row r="288" spans="1:6" x14ac:dyDescent="0.25">
      <c r="A288" s="116" t="s">
        <v>1298</v>
      </c>
      <c r="B288" s="114"/>
      <c r="C288" s="111" t="str">
        <f t="shared" si="14"/>
        <v/>
      </c>
      <c r="D288" s="115"/>
      <c r="E288" s="113" t="str">
        <f t="shared" si="12"/>
        <v/>
      </c>
      <c r="F288" s="111" t="str">
        <f t="shared" si="13"/>
        <v/>
      </c>
    </row>
    <row r="289" spans="1:6" x14ac:dyDescent="0.25">
      <c r="A289" s="116" t="s">
        <v>1299</v>
      </c>
      <c r="B289" s="114"/>
      <c r="C289" s="111" t="str">
        <f t="shared" si="14"/>
        <v/>
      </c>
      <c r="D289" s="115"/>
      <c r="E289" s="113" t="str">
        <f t="shared" si="12"/>
        <v/>
      </c>
      <c r="F289" s="111" t="str">
        <f t="shared" si="13"/>
        <v/>
      </c>
    </row>
    <row r="290" spans="1:6" x14ac:dyDescent="0.25">
      <c r="A290" s="116" t="s">
        <v>1300</v>
      </c>
      <c r="B290" s="114"/>
      <c r="C290" s="111" t="str">
        <f t="shared" si="14"/>
        <v/>
      </c>
      <c r="D290" s="115"/>
      <c r="E290" s="113" t="str">
        <f t="shared" si="12"/>
        <v/>
      </c>
      <c r="F290" s="111" t="str">
        <f t="shared" si="13"/>
        <v/>
      </c>
    </row>
    <row r="291" spans="1:6" x14ac:dyDescent="0.25">
      <c r="A291" s="116" t="s">
        <v>1301</v>
      </c>
      <c r="B291" s="114"/>
      <c r="C291" s="111" t="str">
        <f t="shared" si="14"/>
        <v/>
      </c>
      <c r="D291" s="115"/>
      <c r="E291" s="113" t="str">
        <f t="shared" si="12"/>
        <v/>
      </c>
      <c r="F291" s="111" t="str">
        <f t="shared" si="13"/>
        <v/>
      </c>
    </row>
    <row r="292" spans="1:6" x14ac:dyDescent="0.25">
      <c r="A292" s="116" t="s">
        <v>1302</v>
      </c>
      <c r="B292" s="114"/>
      <c r="C292" s="111" t="str">
        <f t="shared" si="14"/>
        <v/>
      </c>
      <c r="D292" s="115"/>
      <c r="E292" s="113" t="str">
        <f t="shared" si="12"/>
        <v/>
      </c>
      <c r="F292" s="111" t="str">
        <f t="shared" si="13"/>
        <v/>
      </c>
    </row>
    <row r="293" spans="1:6" x14ac:dyDescent="0.25">
      <c r="A293" s="116" t="s">
        <v>1303</v>
      </c>
      <c r="B293" s="114"/>
      <c r="C293" s="111" t="str">
        <f t="shared" si="14"/>
        <v/>
      </c>
      <c r="D293" s="115"/>
      <c r="E293" s="113" t="str">
        <f t="shared" si="12"/>
        <v/>
      </c>
      <c r="F293" s="111" t="str">
        <f t="shared" si="13"/>
        <v/>
      </c>
    </row>
    <row r="294" spans="1:6" x14ac:dyDescent="0.25">
      <c r="A294" s="116" t="s">
        <v>1304</v>
      </c>
      <c r="B294" s="114"/>
      <c r="C294" s="111" t="str">
        <f t="shared" si="14"/>
        <v/>
      </c>
      <c r="D294" s="115"/>
      <c r="E294" s="113" t="str">
        <f t="shared" si="12"/>
        <v/>
      </c>
      <c r="F294" s="111" t="str">
        <f t="shared" si="13"/>
        <v/>
      </c>
    </row>
    <row r="295" spans="1:6" x14ac:dyDescent="0.25">
      <c r="A295" s="116" t="s">
        <v>1305</v>
      </c>
      <c r="B295" s="114"/>
      <c r="C295" s="111" t="str">
        <f t="shared" si="14"/>
        <v/>
      </c>
      <c r="D295" s="115"/>
      <c r="E295" s="113" t="str">
        <f t="shared" si="12"/>
        <v/>
      </c>
      <c r="F295" s="111" t="str">
        <f t="shared" si="13"/>
        <v/>
      </c>
    </row>
    <row r="296" spans="1:6" x14ac:dyDescent="0.25">
      <c r="A296" s="116" t="s">
        <v>1306</v>
      </c>
      <c r="B296" s="114"/>
      <c r="C296" s="111" t="str">
        <f t="shared" si="14"/>
        <v/>
      </c>
      <c r="D296" s="115"/>
      <c r="E296" s="113" t="str">
        <f t="shared" si="12"/>
        <v/>
      </c>
      <c r="F296" s="111" t="str">
        <f t="shared" si="13"/>
        <v/>
      </c>
    </row>
    <row r="297" spans="1:6" x14ac:dyDescent="0.25">
      <c r="A297" s="116" t="s">
        <v>1307</v>
      </c>
      <c r="B297" s="114"/>
      <c r="C297" s="111" t="str">
        <f t="shared" si="14"/>
        <v/>
      </c>
      <c r="D297" s="115"/>
      <c r="E297" s="113" t="str">
        <f t="shared" si="12"/>
        <v/>
      </c>
      <c r="F297" s="111" t="str">
        <f t="shared" si="13"/>
        <v/>
      </c>
    </row>
    <row r="298" spans="1:6" x14ac:dyDescent="0.25">
      <c r="A298" s="116" t="s">
        <v>1308</v>
      </c>
      <c r="B298" s="114"/>
      <c r="C298" s="111" t="str">
        <f t="shared" si="14"/>
        <v/>
      </c>
      <c r="D298" s="115"/>
      <c r="E298" s="113" t="str">
        <f t="shared" si="12"/>
        <v/>
      </c>
      <c r="F298" s="111" t="str">
        <f t="shared" si="13"/>
        <v/>
      </c>
    </row>
    <row r="299" spans="1:6" x14ac:dyDescent="0.25">
      <c r="A299" s="116" t="s">
        <v>1309</v>
      </c>
      <c r="B299" s="114"/>
      <c r="C299" s="111" t="str">
        <f t="shared" si="14"/>
        <v/>
      </c>
      <c r="D299" s="115"/>
      <c r="E299" s="113" t="str">
        <f t="shared" si="12"/>
        <v/>
      </c>
      <c r="F299" s="111" t="str">
        <f t="shared" si="13"/>
        <v/>
      </c>
    </row>
    <row r="300" spans="1:6" x14ac:dyDescent="0.25">
      <c r="A300" s="116" t="s">
        <v>1310</v>
      </c>
      <c r="B300" s="114"/>
      <c r="C300" s="111" t="str">
        <f t="shared" si="14"/>
        <v/>
      </c>
      <c r="D300" s="115"/>
      <c r="E300" s="113" t="str">
        <f t="shared" si="12"/>
        <v/>
      </c>
      <c r="F300" s="111" t="str">
        <f t="shared" si="13"/>
        <v/>
      </c>
    </row>
    <row r="301" spans="1:6" x14ac:dyDescent="0.25">
      <c r="A301" s="116" t="s">
        <v>1311</v>
      </c>
      <c r="B301" s="114"/>
      <c r="C301" s="111" t="str">
        <f t="shared" si="14"/>
        <v/>
      </c>
      <c r="D301" s="115"/>
      <c r="E301" s="113" t="str">
        <f t="shared" si="12"/>
        <v/>
      </c>
      <c r="F301" s="111" t="str">
        <f t="shared" si="13"/>
        <v/>
      </c>
    </row>
    <row r="302" spans="1:6" x14ac:dyDescent="0.25">
      <c r="A302" s="116" t="s">
        <v>1312</v>
      </c>
      <c r="B302" s="114"/>
      <c r="C302" s="111" t="str">
        <f t="shared" si="14"/>
        <v/>
      </c>
      <c r="D302" s="115"/>
      <c r="E302" s="113" t="str">
        <f t="shared" si="12"/>
        <v/>
      </c>
      <c r="F302" s="111" t="str">
        <f t="shared" si="13"/>
        <v/>
      </c>
    </row>
    <row r="303" spans="1:6" x14ac:dyDescent="0.25">
      <c r="A303" s="116" t="s">
        <v>1313</v>
      </c>
      <c r="B303" s="114"/>
      <c r="C303" s="111" t="str">
        <f t="shared" si="14"/>
        <v/>
      </c>
      <c r="D303" s="115"/>
      <c r="E303" s="113" t="str">
        <f t="shared" si="12"/>
        <v/>
      </c>
      <c r="F303" s="111" t="str">
        <f t="shared" si="13"/>
        <v/>
      </c>
    </row>
    <row r="304" spans="1:6" x14ac:dyDescent="0.25">
      <c r="A304" s="116" t="s">
        <v>1314</v>
      </c>
      <c r="B304" s="114"/>
      <c r="C304" s="111" t="str">
        <f t="shared" si="14"/>
        <v/>
      </c>
      <c r="D304" s="115"/>
      <c r="E304" s="113" t="str">
        <f t="shared" si="12"/>
        <v/>
      </c>
      <c r="F304" s="111" t="str">
        <f t="shared" si="13"/>
        <v/>
      </c>
    </row>
    <row r="305" spans="1:6" x14ac:dyDescent="0.25">
      <c r="A305" s="116" t="s">
        <v>1315</v>
      </c>
      <c r="B305" s="114"/>
      <c r="C305" s="111" t="str">
        <f t="shared" si="14"/>
        <v/>
      </c>
      <c r="D305" s="115"/>
      <c r="E305" s="113" t="str">
        <f t="shared" si="12"/>
        <v/>
      </c>
      <c r="F305" s="111" t="str">
        <f t="shared" si="13"/>
        <v/>
      </c>
    </row>
    <row r="306" spans="1:6" x14ac:dyDescent="0.25">
      <c r="A306" s="116" t="s">
        <v>1316</v>
      </c>
      <c r="B306" s="114"/>
      <c r="C306" s="111" t="str">
        <f t="shared" si="14"/>
        <v/>
      </c>
      <c r="D306" s="115"/>
      <c r="E306" s="113" t="str">
        <f t="shared" si="12"/>
        <v/>
      </c>
      <c r="F306" s="111" t="str">
        <f t="shared" si="13"/>
        <v/>
      </c>
    </row>
    <row r="307" spans="1:6" x14ac:dyDescent="0.25">
      <c r="A307" s="116" t="s">
        <v>797</v>
      </c>
      <c r="B307" s="114"/>
      <c r="C307" s="111" t="str">
        <f t="shared" si="14"/>
        <v/>
      </c>
      <c r="D307" s="115"/>
      <c r="E307" s="113" t="str">
        <f t="shared" si="12"/>
        <v/>
      </c>
      <c r="F307" s="111" t="str">
        <f t="shared" si="13"/>
        <v/>
      </c>
    </row>
    <row r="308" spans="1:6" x14ac:dyDescent="0.25">
      <c r="A308" s="116" t="s">
        <v>757</v>
      </c>
      <c r="B308" s="114"/>
      <c r="C308" s="111" t="str">
        <f t="shared" si="14"/>
        <v/>
      </c>
      <c r="D308" s="115"/>
      <c r="E308" s="113">
        <f t="shared" si="12"/>
        <v>6</v>
      </c>
      <c r="F308" s="111" t="str">
        <f t="shared" si="13"/>
        <v>FDO1834R29Q</v>
      </c>
    </row>
    <row r="309" spans="1:6" x14ac:dyDescent="0.25">
      <c r="A309" s="116" t="s">
        <v>1317</v>
      </c>
      <c r="B309" s="114"/>
      <c r="C309" s="111" t="str">
        <f t="shared" si="14"/>
        <v/>
      </c>
      <c r="D309" s="115"/>
      <c r="E309" s="113" t="str">
        <f t="shared" si="12"/>
        <v/>
      </c>
      <c r="F309" s="111" t="str">
        <f t="shared" si="13"/>
        <v/>
      </c>
    </row>
    <row r="310" spans="1:6" x14ac:dyDescent="0.25">
      <c r="A310" s="116" t="s">
        <v>1318</v>
      </c>
      <c r="B310" s="114"/>
      <c r="C310" s="111" t="str">
        <f t="shared" si="14"/>
        <v/>
      </c>
      <c r="D310" s="115"/>
      <c r="E310" s="113" t="str">
        <f t="shared" si="12"/>
        <v/>
      </c>
      <c r="F310" s="111" t="str">
        <f t="shared" si="13"/>
        <v/>
      </c>
    </row>
    <row r="311" spans="1:6" x14ac:dyDescent="0.25">
      <c r="A311" s="116" t="s">
        <v>1319</v>
      </c>
      <c r="B311" s="114"/>
      <c r="C311" s="111" t="str">
        <f t="shared" si="14"/>
        <v/>
      </c>
      <c r="D311" s="115"/>
      <c r="E311" s="113" t="str">
        <f t="shared" si="12"/>
        <v/>
      </c>
      <c r="F311" s="111" t="str">
        <f t="shared" si="13"/>
        <v/>
      </c>
    </row>
    <row r="312" spans="1:6" x14ac:dyDescent="0.25">
      <c r="A312" s="116" t="s">
        <v>1320</v>
      </c>
      <c r="B312" s="114"/>
      <c r="C312" s="111" t="str">
        <f t="shared" si="14"/>
        <v/>
      </c>
      <c r="D312" s="115"/>
      <c r="E312" s="113" t="str">
        <f t="shared" si="12"/>
        <v/>
      </c>
      <c r="F312" s="111" t="str">
        <f t="shared" si="13"/>
        <v/>
      </c>
    </row>
    <row r="313" spans="1:6" x14ac:dyDescent="0.25">
      <c r="A313" s="116" t="s">
        <v>1321</v>
      </c>
      <c r="B313" s="114"/>
      <c r="C313" s="111" t="str">
        <f t="shared" si="14"/>
        <v/>
      </c>
      <c r="D313" s="115"/>
      <c r="E313" s="113" t="str">
        <f t="shared" si="12"/>
        <v/>
      </c>
      <c r="F313" s="111" t="str">
        <f t="shared" si="13"/>
        <v/>
      </c>
    </row>
    <row r="314" spans="1:6" x14ac:dyDescent="0.25">
      <c r="A314" s="116" t="s">
        <v>1322</v>
      </c>
      <c r="B314" s="114"/>
      <c r="C314" s="111" t="str">
        <f t="shared" si="14"/>
        <v/>
      </c>
      <c r="D314" s="115"/>
      <c r="E314" s="113" t="str">
        <f t="shared" si="12"/>
        <v/>
      </c>
      <c r="F314" s="111" t="str">
        <f t="shared" si="13"/>
        <v/>
      </c>
    </row>
    <row r="315" spans="1:6" x14ac:dyDescent="0.25">
      <c r="A315" s="116" t="s">
        <v>1323</v>
      </c>
      <c r="B315" s="114"/>
      <c r="C315" s="111" t="str">
        <f t="shared" si="14"/>
        <v/>
      </c>
      <c r="D315" s="115"/>
      <c r="E315" s="113" t="str">
        <f t="shared" si="12"/>
        <v/>
      </c>
      <c r="F315" s="111" t="str">
        <f t="shared" si="13"/>
        <v/>
      </c>
    </row>
    <row r="316" spans="1:6" x14ac:dyDescent="0.25">
      <c r="A316" s="116" t="s">
        <v>1324</v>
      </c>
      <c r="B316" s="114"/>
      <c r="C316" s="111" t="str">
        <f t="shared" si="14"/>
        <v/>
      </c>
      <c r="D316" s="115"/>
      <c r="E316" s="113" t="str">
        <f t="shared" si="12"/>
        <v/>
      </c>
      <c r="F316" s="111" t="str">
        <f t="shared" si="13"/>
        <v/>
      </c>
    </row>
    <row r="317" spans="1:6" x14ac:dyDescent="0.25">
      <c r="A317" s="116" t="s">
        <v>1325</v>
      </c>
      <c r="B317" s="114"/>
      <c r="C317" s="111" t="str">
        <f t="shared" si="14"/>
        <v/>
      </c>
      <c r="D317" s="115"/>
      <c r="E317" s="113" t="str">
        <f t="shared" si="12"/>
        <v/>
      </c>
      <c r="F317" s="111" t="str">
        <f t="shared" si="13"/>
        <v/>
      </c>
    </row>
    <row r="318" spans="1:6" x14ac:dyDescent="0.25">
      <c r="A318" s="116" t="s">
        <v>1326</v>
      </c>
      <c r="B318" s="114"/>
      <c r="C318" s="111" t="str">
        <f t="shared" si="14"/>
        <v/>
      </c>
      <c r="D318" s="115"/>
      <c r="E318" s="113" t="str">
        <f t="shared" si="12"/>
        <v/>
      </c>
      <c r="F318" s="111" t="str">
        <f t="shared" si="13"/>
        <v/>
      </c>
    </row>
    <row r="319" spans="1:6" x14ac:dyDescent="0.25">
      <c r="A319" s="116" t="s">
        <v>1327</v>
      </c>
      <c r="B319" s="114"/>
      <c r="C319" s="111" t="str">
        <f t="shared" si="14"/>
        <v/>
      </c>
      <c r="D319" s="115"/>
      <c r="E319" s="113" t="str">
        <f t="shared" si="12"/>
        <v/>
      </c>
      <c r="F319" s="111" t="str">
        <f t="shared" si="13"/>
        <v/>
      </c>
    </row>
    <row r="320" spans="1:6" x14ac:dyDescent="0.25">
      <c r="A320" s="116" t="s">
        <v>1328</v>
      </c>
      <c r="B320" s="114"/>
      <c r="C320" s="111" t="str">
        <f t="shared" si="14"/>
        <v/>
      </c>
      <c r="D320" s="115"/>
      <c r="E320" s="113" t="str">
        <f t="shared" si="12"/>
        <v/>
      </c>
      <c r="F320" s="111" t="str">
        <f t="shared" si="13"/>
        <v/>
      </c>
    </row>
    <row r="321" spans="1:6" x14ac:dyDescent="0.25">
      <c r="A321" s="116" t="s">
        <v>1329</v>
      </c>
      <c r="B321" s="114"/>
      <c r="C321" s="111" t="str">
        <f t="shared" si="14"/>
        <v/>
      </c>
      <c r="D321" s="115"/>
      <c r="E321" s="113" t="str">
        <f t="shared" si="12"/>
        <v/>
      </c>
      <c r="F321" s="111" t="str">
        <f t="shared" si="13"/>
        <v/>
      </c>
    </row>
    <row r="322" spans="1:6" x14ac:dyDescent="0.25">
      <c r="A322" s="116" t="s">
        <v>1330</v>
      </c>
      <c r="B322" s="114"/>
      <c r="C322" s="111" t="str">
        <f t="shared" si="14"/>
        <v/>
      </c>
      <c r="D322" s="115"/>
      <c r="E322" s="113" t="str">
        <f t="shared" si="12"/>
        <v/>
      </c>
      <c r="F322" s="111" t="str">
        <f t="shared" si="13"/>
        <v/>
      </c>
    </row>
    <row r="323" spans="1:6" x14ac:dyDescent="0.25">
      <c r="A323" s="116" t="s">
        <v>1331</v>
      </c>
      <c r="B323" s="114"/>
      <c r="C323" s="111" t="str">
        <f t="shared" si="14"/>
        <v/>
      </c>
      <c r="D323" s="115"/>
      <c r="E323" s="113" t="str">
        <f t="shared" ref="E323:E386" si="15">IFERROR(MATCH(A323,$D$2:$D$1000,),"")</f>
        <v/>
      </c>
      <c r="F323" s="111" t="str">
        <f t="shared" ref="F323:F386" si="16">IF(E323&lt;&gt;"",INDEX($D$2:$D$1000,E323,1),"")</f>
        <v/>
      </c>
    </row>
    <row r="324" spans="1:6" x14ac:dyDescent="0.25">
      <c r="A324" s="116" t="s">
        <v>1332</v>
      </c>
      <c r="B324" s="114"/>
      <c r="C324" s="111" t="str">
        <f t="shared" si="14"/>
        <v/>
      </c>
      <c r="D324" s="115"/>
      <c r="E324" s="113" t="str">
        <f t="shared" si="15"/>
        <v/>
      </c>
      <c r="F324" s="111" t="str">
        <f t="shared" si="16"/>
        <v/>
      </c>
    </row>
    <row r="325" spans="1:6" x14ac:dyDescent="0.25">
      <c r="A325" s="116" t="s">
        <v>1333</v>
      </c>
      <c r="B325" s="114"/>
      <c r="C325" s="111" t="str">
        <f t="shared" si="14"/>
        <v/>
      </c>
      <c r="D325" s="115"/>
      <c r="E325" s="113" t="str">
        <f t="shared" si="15"/>
        <v/>
      </c>
      <c r="F325" s="111" t="str">
        <f t="shared" si="16"/>
        <v/>
      </c>
    </row>
    <row r="326" spans="1:6" x14ac:dyDescent="0.25">
      <c r="A326" s="116" t="s">
        <v>1334</v>
      </c>
      <c r="B326" s="114"/>
      <c r="C326" s="111" t="str">
        <f t="shared" si="14"/>
        <v/>
      </c>
      <c r="D326" s="115"/>
      <c r="E326" s="113" t="str">
        <f t="shared" si="15"/>
        <v/>
      </c>
      <c r="F326" s="111" t="str">
        <f t="shared" si="16"/>
        <v/>
      </c>
    </row>
    <row r="327" spans="1:6" x14ac:dyDescent="0.25">
      <c r="A327" s="116" t="s">
        <v>1335</v>
      </c>
      <c r="B327" s="114"/>
      <c r="C327" s="111" t="str">
        <f t="shared" si="14"/>
        <v/>
      </c>
      <c r="D327" s="115"/>
      <c r="E327" s="113" t="str">
        <f t="shared" si="15"/>
        <v/>
      </c>
      <c r="F327" s="111" t="str">
        <f t="shared" si="16"/>
        <v/>
      </c>
    </row>
    <row r="328" spans="1:6" x14ac:dyDescent="0.25">
      <c r="A328" s="116" t="s">
        <v>1336</v>
      </c>
      <c r="B328" s="114"/>
      <c r="C328" s="111" t="str">
        <f t="shared" si="14"/>
        <v/>
      </c>
      <c r="D328" s="115"/>
      <c r="E328" s="113" t="str">
        <f t="shared" si="15"/>
        <v/>
      </c>
      <c r="F328" s="111" t="str">
        <f t="shared" si="16"/>
        <v/>
      </c>
    </row>
    <row r="329" spans="1:6" x14ac:dyDescent="0.25">
      <c r="A329" s="116" t="s">
        <v>1337</v>
      </c>
      <c r="B329" s="114"/>
      <c r="C329" s="111" t="str">
        <f t="shared" si="14"/>
        <v/>
      </c>
      <c r="D329" s="115"/>
      <c r="E329" s="113" t="str">
        <f t="shared" si="15"/>
        <v/>
      </c>
      <c r="F329" s="111" t="str">
        <f t="shared" si="16"/>
        <v/>
      </c>
    </row>
    <row r="330" spans="1:6" x14ac:dyDescent="0.25">
      <c r="A330" s="116" t="s">
        <v>1338</v>
      </c>
      <c r="B330" s="114"/>
      <c r="C330" s="111" t="str">
        <f t="shared" ref="C330:C393" si="17">IF(ISNA(VLOOKUP(B330,$A$1:$A$1000,1,FALSE)),"","Yes")</f>
        <v/>
      </c>
      <c r="D330" s="115"/>
      <c r="E330" s="113" t="str">
        <f t="shared" si="15"/>
        <v/>
      </c>
      <c r="F330" s="111" t="str">
        <f t="shared" si="16"/>
        <v/>
      </c>
    </row>
    <row r="331" spans="1:6" x14ac:dyDescent="0.25">
      <c r="A331" s="116" t="s">
        <v>1339</v>
      </c>
      <c r="B331" s="114"/>
      <c r="C331" s="111" t="str">
        <f t="shared" si="17"/>
        <v/>
      </c>
      <c r="D331" s="115"/>
      <c r="E331" s="113" t="str">
        <f t="shared" si="15"/>
        <v/>
      </c>
      <c r="F331" s="111" t="str">
        <f t="shared" si="16"/>
        <v/>
      </c>
    </row>
    <row r="332" spans="1:6" x14ac:dyDescent="0.25">
      <c r="A332" s="116" t="s">
        <v>1340</v>
      </c>
      <c r="B332" s="114"/>
      <c r="C332" s="111" t="str">
        <f t="shared" si="17"/>
        <v/>
      </c>
      <c r="D332" s="115"/>
      <c r="E332" s="113" t="str">
        <f t="shared" si="15"/>
        <v/>
      </c>
      <c r="F332" s="111" t="str">
        <f t="shared" si="16"/>
        <v/>
      </c>
    </row>
    <row r="333" spans="1:6" x14ac:dyDescent="0.25">
      <c r="A333" s="116" t="s">
        <v>1341</v>
      </c>
      <c r="B333" s="114"/>
      <c r="C333" s="111" t="str">
        <f t="shared" si="17"/>
        <v/>
      </c>
      <c r="D333" s="115"/>
      <c r="E333" s="113" t="str">
        <f t="shared" si="15"/>
        <v/>
      </c>
      <c r="F333" s="111" t="str">
        <f t="shared" si="16"/>
        <v/>
      </c>
    </row>
    <row r="334" spans="1:6" x14ac:dyDescent="0.25">
      <c r="A334" s="116" t="s">
        <v>1342</v>
      </c>
      <c r="B334" s="114"/>
      <c r="C334" s="111" t="str">
        <f t="shared" si="17"/>
        <v/>
      </c>
      <c r="D334" s="115"/>
      <c r="E334" s="113" t="str">
        <f t="shared" si="15"/>
        <v/>
      </c>
      <c r="F334" s="111" t="str">
        <f t="shared" si="16"/>
        <v/>
      </c>
    </row>
    <row r="335" spans="1:6" x14ac:dyDescent="0.25">
      <c r="A335" s="116" t="s">
        <v>1343</v>
      </c>
      <c r="B335" s="114"/>
      <c r="C335" s="111" t="str">
        <f t="shared" si="17"/>
        <v/>
      </c>
      <c r="D335" s="115"/>
      <c r="E335" s="113" t="str">
        <f t="shared" si="15"/>
        <v/>
      </c>
      <c r="F335" s="111" t="str">
        <f t="shared" si="16"/>
        <v/>
      </c>
    </row>
    <row r="336" spans="1:6" x14ac:dyDescent="0.25">
      <c r="A336" s="116" t="s">
        <v>1344</v>
      </c>
      <c r="B336" s="114"/>
      <c r="C336" s="111" t="str">
        <f t="shared" si="17"/>
        <v/>
      </c>
      <c r="D336" s="115"/>
      <c r="E336" s="113" t="str">
        <f t="shared" si="15"/>
        <v/>
      </c>
      <c r="F336" s="111" t="str">
        <f t="shared" si="16"/>
        <v/>
      </c>
    </row>
    <row r="337" spans="1:6" x14ac:dyDescent="0.25">
      <c r="A337" s="116" t="s">
        <v>1345</v>
      </c>
      <c r="B337" s="114"/>
      <c r="C337" s="111" t="str">
        <f t="shared" si="17"/>
        <v/>
      </c>
      <c r="D337" s="115"/>
      <c r="E337" s="113" t="str">
        <f t="shared" si="15"/>
        <v/>
      </c>
      <c r="F337" s="111" t="str">
        <f t="shared" si="16"/>
        <v/>
      </c>
    </row>
    <row r="338" spans="1:6" x14ac:dyDescent="0.25">
      <c r="A338" s="116" t="s">
        <v>1346</v>
      </c>
      <c r="B338" s="114"/>
      <c r="C338" s="111" t="str">
        <f t="shared" si="17"/>
        <v/>
      </c>
      <c r="D338" s="115"/>
      <c r="E338" s="113" t="str">
        <f t="shared" si="15"/>
        <v/>
      </c>
      <c r="F338" s="111" t="str">
        <f t="shared" si="16"/>
        <v/>
      </c>
    </row>
    <row r="339" spans="1:6" x14ac:dyDescent="0.25">
      <c r="A339" s="116" t="s">
        <v>1347</v>
      </c>
      <c r="B339" s="114"/>
      <c r="C339" s="111" t="str">
        <f t="shared" si="17"/>
        <v/>
      </c>
      <c r="D339" s="115"/>
      <c r="E339" s="113" t="str">
        <f t="shared" si="15"/>
        <v/>
      </c>
      <c r="F339" s="111" t="str">
        <f t="shared" si="16"/>
        <v/>
      </c>
    </row>
    <row r="340" spans="1:6" x14ac:dyDescent="0.25">
      <c r="A340" s="116" t="s">
        <v>1348</v>
      </c>
      <c r="B340" s="114"/>
      <c r="C340" s="111" t="str">
        <f t="shared" si="17"/>
        <v/>
      </c>
      <c r="D340" s="115"/>
      <c r="E340" s="113" t="str">
        <f t="shared" si="15"/>
        <v/>
      </c>
      <c r="F340" s="111" t="str">
        <f t="shared" si="16"/>
        <v/>
      </c>
    </row>
    <row r="341" spans="1:6" x14ac:dyDescent="0.25">
      <c r="A341" s="116" t="s">
        <v>1349</v>
      </c>
      <c r="B341" s="114"/>
      <c r="C341" s="111" t="str">
        <f t="shared" si="17"/>
        <v/>
      </c>
      <c r="D341" s="115"/>
      <c r="E341" s="113" t="str">
        <f t="shared" si="15"/>
        <v/>
      </c>
      <c r="F341" s="111" t="str">
        <f t="shared" si="16"/>
        <v/>
      </c>
    </row>
    <row r="342" spans="1:6" x14ac:dyDescent="0.25">
      <c r="A342" s="116" t="s">
        <v>1350</v>
      </c>
      <c r="B342" s="114"/>
      <c r="C342" s="111" t="str">
        <f t="shared" si="17"/>
        <v/>
      </c>
      <c r="D342" s="115"/>
      <c r="E342" s="113" t="str">
        <f t="shared" si="15"/>
        <v/>
      </c>
      <c r="F342" s="111" t="str">
        <f t="shared" si="16"/>
        <v/>
      </c>
    </row>
    <row r="343" spans="1:6" x14ac:dyDescent="0.25">
      <c r="A343" s="116" t="s">
        <v>1351</v>
      </c>
      <c r="B343" s="114"/>
      <c r="C343" s="111" t="str">
        <f t="shared" si="17"/>
        <v/>
      </c>
      <c r="D343" s="115"/>
      <c r="E343" s="113" t="str">
        <f t="shared" si="15"/>
        <v/>
      </c>
      <c r="F343" s="111" t="str">
        <f t="shared" si="16"/>
        <v/>
      </c>
    </row>
    <row r="344" spans="1:6" x14ac:dyDescent="0.25">
      <c r="A344" s="116" t="s">
        <v>1352</v>
      </c>
      <c r="B344" s="114"/>
      <c r="C344" s="111" t="str">
        <f t="shared" si="17"/>
        <v/>
      </c>
      <c r="D344" s="115"/>
      <c r="E344" s="113" t="str">
        <f t="shared" si="15"/>
        <v/>
      </c>
      <c r="F344" s="111" t="str">
        <f t="shared" si="16"/>
        <v/>
      </c>
    </row>
    <row r="345" spans="1:6" x14ac:dyDescent="0.25">
      <c r="A345" s="116" t="s">
        <v>1353</v>
      </c>
      <c r="B345" s="114"/>
      <c r="C345" s="111" t="str">
        <f t="shared" si="17"/>
        <v/>
      </c>
      <c r="D345" s="115"/>
      <c r="E345" s="113" t="str">
        <f t="shared" si="15"/>
        <v/>
      </c>
      <c r="F345" s="111" t="str">
        <f t="shared" si="16"/>
        <v/>
      </c>
    </row>
    <row r="346" spans="1:6" x14ac:dyDescent="0.25">
      <c r="A346" s="116" t="s">
        <v>1354</v>
      </c>
      <c r="B346" s="114"/>
      <c r="C346" s="111" t="str">
        <f t="shared" si="17"/>
        <v/>
      </c>
      <c r="D346" s="115"/>
      <c r="E346" s="113" t="str">
        <f t="shared" si="15"/>
        <v/>
      </c>
      <c r="F346" s="111" t="str">
        <f t="shared" si="16"/>
        <v/>
      </c>
    </row>
    <row r="347" spans="1:6" x14ac:dyDescent="0.25">
      <c r="A347" s="116" t="s">
        <v>1355</v>
      </c>
      <c r="B347" s="114"/>
      <c r="C347" s="111" t="str">
        <f t="shared" si="17"/>
        <v/>
      </c>
      <c r="D347" s="115"/>
      <c r="E347" s="113" t="str">
        <f t="shared" si="15"/>
        <v/>
      </c>
      <c r="F347" s="111" t="str">
        <f t="shared" si="16"/>
        <v/>
      </c>
    </row>
    <row r="348" spans="1:6" x14ac:dyDescent="0.25">
      <c r="A348" s="116" t="s">
        <v>1356</v>
      </c>
      <c r="B348" s="114"/>
      <c r="C348" s="111" t="str">
        <f t="shared" si="17"/>
        <v/>
      </c>
      <c r="D348" s="115"/>
      <c r="E348" s="113" t="str">
        <f t="shared" si="15"/>
        <v/>
      </c>
      <c r="F348" s="111" t="str">
        <f t="shared" si="16"/>
        <v/>
      </c>
    </row>
    <row r="349" spans="1:6" x14ac:dyDescent="0.25">
      <c r="A349" s="116" t="s">
        <v>1357</v>
      </c>
      <c r="B349" s="114"/>
      <c r="C349" s="111" t="str">
        <f t="shared" si="17"/>
        <v/>
      </c>
      <c r="D349" s="115"/>
      <c r="E349" s="113" t="str">
        <f t="shared" si="15"/>
        <v/>
      </c>
      <c r="F349" s="111" t="str">
        <f t="shared" si="16"/>
        <v/>
      </c>
    </row>
    <row r="350" spans="1:6" x14ac:dyDescent="0.25">
      <c r="A350" s="116" t="s">
        <v>1358</v>
      </c>
      <c r="B350" s="114"/>
      <c r="C350" s="111" t="str">
        <f t="shared" si="17"/>
        <v/>
      </c>
      <c r="D350" s="115"/>
      <c r="E350" s="113" t="str">
        <f t="shared" si="15"/>
        <v/>
      </c>
      <c r="F350" s="111" t="str">
        <f t="shared" si="16"/>
        <v/>
      </c>
    </row>
    <row r="351" spans="1:6" x14ac:dyDescent="0.25">
      <c r="A351" s="116" t="s">
        <v>1359</v>
      </c>
      <c r="B351" s="114"/>
      <c r="C351" s="111" t="str">
        <f t="shared" si="17"/>
        <v/>
      </c>
      <c r="D351" s="115"/>
      <c r="E351" s="113" t="str">
        <f t="shared" si="15"/>
        <v/>
      </c>
      <c r="F351" s="111" t="str">
        <f t="shared" si="16"/>
        <v/>
      </c>
    </row>
    <row r="352" spans="1:6" x14ac:dyDescent="0.25">
      <c r="A352" s="116" t="s">
        <v>1360</v>
      </c>
      <c r="B352" s="114"/>
      <c r="C352" s="111" t="str">
        <f t="shared" si="17"/>
        <v/>
      </c>
      <c r="D352" s="115"/>
      <c r="E352" s="113" t="str">
        <f t="shared" si="15"/>
        <v/>
      </c>
      <c r="F352" s="111" t="str">
        <f t="shared" si="16"/>
        <v/>
      </c>
    </row>
    <row r="353" spans="1:6" x14ac:dyDescent="0.25">
      <c r="A353" s="116" t="s">
        <v>1361</v>
      </c>
      <c r="B353" s="114"/>
      <c r="C353" s="111" t="str">
        <f t="shared" si="17"/>
        <v/>
      </c>
      <c r="D353" s="115"/>
      <c r="E353" s="113" t="str">
        <f t="shared" si="15"/>
        <v/>
      </c>
      <c r="F353" s="111" t="str">
        <f t="shared" si="16"/>
        <v/>
      </c>
    </row>
    <row r="354" spans="1:6" x14ac:dyDescent="0.25">
      <c r="A354" s="116" t="s">
        <v>1362</v>
      </c>
      <c r="B354" s="114"/>
      <c r="C354" s="111" t="str">
        <f t="shared" si="17"/>
        <v/>
      </c>
      <c r="D354" s="115"/>
      <c r="E354" s="113" t="str">
        <f t="shared" si="15"/>
        <v/>
      </c>
      <c r="F354" s="111" t="str">
        <f t="shared" si="16"/>
        <v/>
      </c>
    </row>
    <row r="355" spans="1:6" x14ac:dyDescent="0.25">
      <c r="A355" s="116" t="s">
        <v>1363</v>
      </c>
      <c r="B355" s="114"/>
      <c r="C355" s="111" t="str">
        <f t="shared" si="17"/>
        <v/>
      </c>
      <c r="D355" s="115"/>
      <c r="E355" s="113" t="str">
        <f t="shared" si="15"/>
        <v/>
      </c>
      <c r="F355" s="111" t="str">
        <f t="shared" si="16"/>
        <v/>
      </c>
    </row>
    <row r="356" spans="1:6" x14ac:dyDescent="0.25">
      <c r="A356" s="116" t="s">
        <v>1364</v>
      </c>
      <c r="B356" s="114"/>
      <c r="C356" s="111" t="str">
        <f t="shared" si="17"/>
        <v/>
      </c>
      <c r="D356" s="115"/>
      <c r="E356" s="113" t="str">
        <f t="shared" si="15"/>
        <v/>
      </c>
      <c r="F356" s="111" t="str">
        <f t="shared" si="16"/>
        <v/>
      </c>
    </row>
    <row r="357" spans="1:6" x14ac:dyDescent="0.25">
      <c r="A357" s="116" t="s">
        <v>1365</v>
      </c>
      <c r="B357" s="114"/>
      <c r="C357" s="111" t="str">
        <f t="shared" si="17"/>
        <v/>
      </c>
      <c r="D357" s="115"/>
      <c r="E357" s="113" t="str">
        <f t="shared" si="15"/>
        <v/>
      </c>
      <c r="F357" s="111" t="str">
        <f t="shared" si="16"/>
        <v/>
      </c>
    </row>
    <row r="358" spans="1:6" x14ac:dyDescent="0.25">
      <c r="A358" s="116" t="s">
        <v>1366</v>
      </c>
      <c r="B358" s="114"/>
      <c r="C358" s="111" t="str">
        <f t="shared" si="17"/>
        <v/>
      </c>
      <c r="D358" s="115"/>
      <c r="E358" s="113" t="str">
        <f t="shared" si="15"/>
        <v/>
      </c>
      <c r="F358" s="111" t="str">
        <f t="shared" si="16"/>
        <v/>
      </c>
    </row>
    <row r="359" spans="1:6" x14ac:dyDescent="0.25">
      <c r="A359" s="116" t="s">
        <v>1367</v>
      </c>
      <c r="B359" s="114"/>
      <c r="C359" s="111" t="str">
        <f t="shared" si="17"/>
        <v/>
      </c>
      <c r="D359" s="115"/>
      <c r="E359" s="113" t="str">
        <f t="shared" si="15"/>
        <v/>
      </c>
      <c r="F359" s="111" t="str">
        <f t="shared" si="16"/>
        <v/>
      </c>
    </row>
    <row r="360" spans="1:6" x14ac:dyDescent="0.25">
      <c r="A360" s="116" t="s">
        <v>1368</v>
      </c>
      <c r="B360" s="114"/>
      <c r="C360" s="111" t="str">
        <f t="shared" si="17"/>
        <v/>
      </c>
      <c r="D360" s="115"/>
      <c r="E360" s="113" t="str">
        <f t="shared" si="15"/>
        <v/>
      </c>
      <c r="F360" s="111" t="str">
        <f t="shared" si="16"/>
        <v/>
      </c>
    </row>
    <row r="361" spans="1:6" x14ac:dyDescent="0.25">
      <c r="A361" s="116" t="s">
        <v>1369</v>
      </c>
      <c r="B361" s="114"/>
      <c r="C361" s="111" t="str">
        <f t="shared" si="17"/>
        <v/>
      </c>
      <c r="D361" s="115"/>
      <c r="E361" s="113" t="str">
        <f t="shared" si="15"/>
        <v/>
      </c>
      <c r="F361" s="111" t="str">
        <f t="shared" si="16"/>
        <v/>
      </c>
    </row>
    <row r="362" spans="1:6" x14ac:dyDescent="0.25">
      <c r="A362" s="116" t="s">
        <v>1370</v>
      </c>
      <c r="B362" s="114"/>
      <c r="C362" s="111" t="str">
        <f t="shared" si="17"/>
        <v/>
      </c>
      <c r="D362" s="115"/>
      <c r="E362" s="113" t="str">
        <f t="shared" si="15"/>
        <v/>
      </c>
      <c r="F362" s="111" t="str">
        <f t="shared" si="16"/>
        <v/>
      </c>
    </row>
    <row r="363" spans="1:6" x14ac:dyDescent="0.25">
      <c r="A363" s="116" t="s">
        <v>1371</v>
      </c>
      <c r="B363" s="114"/>
      <c r="C363" s="111" t="str">
        <f t="shared" si="17"/>
        <v/>
      </c>
      <c r="D363" s="115"/>
      <c r="E363" s="113" t="str">
        <f t="shared" si="15"/>
        <v/>
      </c>
      <c r="F363" s="111" t="str">
        <f t="shared" si="16"/>
        <v/>
      </c>
    </row>
    <row r="364" spans="1:6" x14ac:dyDescent="0.25">
      <c r="A364" s="116" t="s">
        <v>1372</v>
      </c>
      <c r="B364" s="114"/>
      <c r="C364" s="111" t="str">
        <f t="shared" si="17"/>
        <v/>
      </c>
      <c r="D364" s="115"/>
      <c r="E364" s="113" t="str">
        <f t="shared" si="15"/>
        <v/>
      </c>
      <c r="F364" s="111" t="str">
        <f t="shared" si="16"/>
        <v/>
      </c>
    </row>
    <row r="365" spans="1:6" x14ac:dyDescent="0.25">
      <c r="A365" s="116" t="s">
        <v>1373</v>
      </c>
      <c r="B365" s="114"/>
      <c r="C365" s="111" t="str">
        <f t="shared" si="17"/>
        <v/>
      </c>
      <c r="D365" s="115"/>
      <c r="E365" s="113" t="str">
        <f t="shared" si="15"/>
        <v/>
      </c>
      <c r="F365" s="111" t="str">
        <f t="shared" si="16"/>
        <v/>
      </c>
    </row>
    <row r="366" spans="1:6" x14ac:dyDescent="0.25">
      <c r="A366" s="116" t="s">
        <v>1374</v>
      </c>
      <c r="B366" s="114"/>
      <c r="C366" s="111" t="str">
        <f t="shared" si="17"/>
        <v/>
      </c>
      <c r="D366" s="115"/>
      <c r="E366" s="113" t="str">
        <f t="shared" si="15"/>
        <v/>
      </c>
      <c r="F366" s="111" t="str">
        <f t="shared" si="16"/>
        <v/>
      </c>
    </row>
    <row r="367" spans="1:6" x14ac:dyDescent="0.25">
      <c r="A367" s="116" t="s">
        <v>1375</v>
      </c>
      <c r="B367" s="114"/>
      <c r="C367" s="111" t="str">
        <f t="shared" si="17"/>
        <v/>
      </c>
      <c r="D367" s="115"/>
      <c r="E367" s="113" t="str">
        <f t="shared" si="15"/>
        <v/>
      </c>
      <c r="F367" s="111" t="str">
        <f t="shared" si="16"/>
        <v/>
      </c>
    </row>
    <row r="368" spans="1:6" x14ac:dyDescent="0.25">
      <c r="A368" s="116" t="s">
        <v>1376</v>
      </c>
      <c r="B368" s="114"/>
      <c r="C368" s="111" t="str">
        <f t="shared" si="17"/>
        <v/>
      </c>
      <c r="D368" s="115"/>
      <c r="E368" s="113" t="str">
        <f t="shared" si="15"/>
        <v/>
      </c>
      <c r="F368" s="111" t="str">
        <f t="shared" si="16"/>
        <v/>
      </c>
    </row>
    <row r="369" spans="1:6" x14ac:dyDescent="0.25">
      <c r="A369" s="116" t="s">
        <v>1377</v>
      </c>
      <c r="B369" s="114"/>
      <c r="C369" s="111" t="str">
        <f t="shared" si="17"/>
        <v/>
      </c>
      <c r="D369" s="115"/>
      <c r="E369" s="113" t="str">
        <f t="shared" si="15"/>
        <v/>
      </c>
      <c r="F369" s="111" t="str">
        <f t="shared" si="16"/>
        <v/>
      </c>
    </row>
    <row r="370" spans="1:6" x14ac:dyDescent="0.25">
      <c r="A370" s="116" t="s">
        <v>1378</v>
      </c>
      <c r="B370" s="114"/>
      <c r="C370" s="111" t="str">
        <f t="shared" si="17"/>
        <v/>
      </c>
      <c r="D370" s="115"/>
      <c r="E370" s="113" t="str">
        <f t="shared" si="15"/>
        <v/>
      </c>
      <c r="F370" s="111" t="str">
        <f t="shared" si="16"/>
        <v/>
      </c>
    </row>
    <row r="371" spans="1:6" x14ac:dyDescent="0.25">
      <c r="A371" s="116" t="s">
        <v>1379</v>
      </c>
      <c r="B371" s="114"/>
      <c r="C371" s="111" t="str">
        <f t="shared" si="17"/>
        <v/>
      </c>
      <c r="D371" s="115"/>
      <c r="E371" s="113" t="str">
        <f t="shared" si="15"/>
        <v/>
      </c>
      <c r="F371" s="111" t="str">
        <f t="shared" si="16"/>
        <v/>
      </c>
    </row>
    <row r="372" spans="1:6" x14ac:dyDescent="0.25">
      <c r="A372" s="116" t="s">
        <v>1380</v>
      </c>
      <c r="B372" s="114"/>
      <c r="C372" s="111" t="str">
        <f t="shared" si="17"/>
        <v/>
      </c>
      <c r="D372" s="115"/>
      <c r="E372" s="113" t="str">
        <f t="shared" si="15"/>
        <v/>
      </c>
      <c r="F372" s="111" t="str">
        <f t="shared" si="16"/>
        <v/>
      </c>
    </row>
    <row r="373" spans="1:6" x14ac:dyDescent="0.25">
      <c r="A373" s="116" t="s">
        <v>1381</v>
      </c>
      <c r="B373" s="114"/>
      <c r="C373" s="111" t="str">
        <f t="shared" si="17"/>
        <v/>
      </c>
      <c r="D373" s="115"/>
      <c r="E373" s="113" t="str">
        <f t="shared" si="15"/>
        <v/>
      </c>
      <c r="F373" s="111" t="str">
        <f t="shared" si="16"/>
        <v/>
      </c>
    </row>
    <row r="374" spans="1:6" x14ac:dyDescent="0.25">
      <c r="A374" s="116" t="s">
        <v>1382</v>
      </c>
      <c r="B374" s="114"/>
      <c r="C374" s="111" t="str">
        <f t="shared" si="17"/>
        <v/>
      </c>
      <c r="D374" s="115"/>
      <c r="E374" s="113" t="str">
        <f t="shared" si="15"/>
        <v/>
      </c>
      <c r="F374" s="111" t="str">
        <f t="shared" si="16"/>
        <v/>
      </c>
    </row>
    <row r="375" spans="1:6" x14ac:dyDescent="0.25">
      <c r="A375" s="116" t="s">
        <v>1383</v>
      </c>
      <c r="B375" s="114"/>
      <c r="C375" s="111" t="str">
        <f t="shared" si="17"/>
        <v/>
      </c>
      <c r="D375" s="115"/>
      <c r="E375" s="113" t="str">
        <f t="shared" si="15"/>
        <v/>
      </c>
      <c r="F375" s="111" t="str">
        <f t="shared" si="16"/>
        <v/>
      </c>
    </row>
    <row r="376" spans="1:6" x14ac:dyDescent="0.25">
      <c r="A376" s="116" t="s">
        <v>1384</v>
      </c>
      <c r="B376" s="114"/>
      <c r="C376" s="111" t="str">
        <f t="shared" si="17"/>
        <v/>
      </c>
      <c r="D376" s="115"/>
      <c r="E376" s="113" t="str">
        <f t="shared" si="15"/>
        <v/>
      </c>
      <c r="F376" s="111" t="str">
        <f t="shared" si="16"/>
        <v/>
      </c>
    </row>
    <row r="377" spans="1:6" x14ac:dyDescent="0.25">
      <c r="A377" s="116" t="s">
        <v>1385</v>
      </c>
      <c r="B377" s="114"/>
      <c r="C377" s="111" t="str">
        <f t="shared" si="17"/>
        <v/>
      </c>
      <c r="D377" s="115"/>
      <c r="E377" s="113" t="str">
        <f t="shared" si="15"/>
        <v/>
      </c>
      <c r="F377" s="111" t="str">
        <f t="shared" si="16"/>
        <v/>
      </c>
    </row>
    <row r="378" spans="1:6" x14ac:dyDescent="0.25">
      <c r="A378" s="116" t="s">
        <v>1386</v>
      </c>
      <c r="B378" s="114"/>
      <c r="C378" s="111" t="str">
        <f t="shared" si="17"/>
        <v/>
      </c>
      <c r="D378" s="115"/>
      <c r="E378" s="113" t="str">
        <f t="shared" si="15"/>
        <v/>
      </c>
      <c r="F378" s="111" t="str">
        <f t="shared" si="16"/>
        <v/>
      </c>
    </row>
    <row r="379" spans="1:6" x14ac:dyDescent="0.25">
      <c r="A379" s="116" t="s">
        <v>1387</v>
      </c>
      <c r="B379" s="114"/>
      <c r="C379" s="111" t="str">
        <f t="shared" si="17"/>
        <v/>
      </c>
      <c r="D379" s="115"/>
      <c r="E379" s="113" t="str">
        <f t="shared" si="15"/>
        <v/>
      </c>
      <c r="F379" s="111" t="str">
        <f t="shared" si="16"/>
        <v/>
      </c>
    </row>
    <row r="380" spans="1:6" x14ac:dyDescent="0.25">
      <c r="A380" s="116" t="s">
        <v>1388</v>
      </c>
      <c r="B380" s="114"/>
      <c r="C380" s="111" t="str">
        <f t="shared" si="17"/>
        <v/>
      </c>
      <c r="D380" s="115"/>
      <c r="E380" s="113" t="str">
        <f t="shared" si="15"/>
        <v/>
      </c>
      <c r="F380" s="111" t="str">
        <f t="shared" si="16"/>
        <v/>
      </c>
    </row>
    <row r="381" spans="1:6" x14ac:dyDescent="0.25">
      <c r="A381" s="116" t="s">
        <v>1389</v>
      </c>
      <c r="B381" s="114"/>
      <c r="C381" s="111" t="str">
        <f t="shared" si="17"/>
        <v/>
      </c>
      <c r="D381" s="115"/>
      <c r="E381" s="113" t="str">
        <f t="shared" si="15"/>
        <v/>
      </c>
      <c r="F381" s="111" t="str">
        <f t="shared" si="16"/>
        <v/>
      </c>
    </row>
    <row r="382" spans="1:6" x14ac:dyDescent="0.25">
      <c r="A382" s="116" t="s">
        <v>1390</v>
      </c>
      <c r="B382" s="114"/>
      <c r="C382" s="111" t="str">
        <f t="shared" si="17"/>
        <v/>
      </c>
      <c r="D382" s="115"/>
      <c r="E382" s="113" t="str">
        <f t="shared" si="15"/>
        <v/>
      </c>
      <c r="F382" s="111" t="str">
        <f t="shared" si="16"/>
        <v/>
      </c>
    </row>
    <row r="383" spans="1:6" x14ac:dyDescent="0.25">
      <c r="A383" s="116" t="s">
        <v>1391</v>
      </c>
      <c r="B383" s="114"/>
      <c r="C383" s="111" t="str">
        <f t="shared" si="17"/>
        <v/>
      </c>
      <c r="D383" s="115"/>
      <c r="E383" s="113" t="str">
        <f t="shared" si="15"/>
        <v/>
      </c>
      <c r="F383" s="111" t="str">
        <f t="shared" si="16"/>
        <v/>
      </c>
    </row>
    <row r="384" spans="1:6" x14ac:dyDescent="0.25">
      <c r="A384" s="116" t="s">
        <v>1392</v>
      </c>
      <c r="B384" s="114"/>
      <c r="C384" s="111" t="str">
        <f t="shared" si="17"/>
        <v/>
      </c>
      <c r="D384" s="115"/>
      <c r="E384" s="113" t="str">
        <f t="shared" si="15"/>
        <v/>
      </c>
      <c r="F384" s="111" t="str">
        <f t="shared" si="16"/>
        <v/>
      </c>
    </row>
    <row r="385" spans="1:6" x14ac:dyDescent="0.25">
      <c r="A385" s="116" t="s">
        <v>1393</v>
      </c>
      <c r="B385" s="114"/>
      <c r="C385" s="111" t="str">
        <f t="shared" si="17"/>
        <v/>
      </c>
      <c r="D385" s="115"/>
      <c r="E385" s="113" t="str">
        <f t="shared" si="15"/>
        <v/>
      </c>
      <c r="F385" s="111" t="str">
        <f t="shared" si="16"/>
        <v/>
      </c>
    </row>
    <row r="386" spans="1:6" x14ac:dyDescent="0.25">
      <c r="A386" s="116" t="s">
        <v>1394</v>
      </c>
      <c r="B386" s="114"/>
      <c r="C386" s="111" t="str">
        <f t="shared" si="17"/>
        <v/>
      </c>
      <c r="D386" s="115"/>
      <c r="E386" s="113" t="str">
        <f t="shared" si="15"/>
        <v/>
      </c>
      <c r="F386" s="111" t="str">
        <f t="shared" si="16"/>
        <v/>
      </c>
    </row>
    <row r="387" spans="1:6" x14ac:dyDescent="0.25">
      <c r="A387" s="116" t="s">
        <v>1395</v>
      </c>
      <c r="B387" s="114"/>
      <c r="C387" s="111" t="str">
        <f t="shared" si="17"/>
        <v/>
      </c>
      <c r="D387" s="115"/>
      <c r="E387" s="113" t="str">
        <f t="shared" ref="E387:E450" si="18">IFERROR(MATCH(A387,$D$2:$D$1000,),"")</f>
        <v/>
      </c>
      <c r="F387" s="111" t="str">
        <f t="shared" ref="F387:F450" si="19">IF(E387&lt;&gt;"",INDEX($D$2:$D$1000,E387,1),"")</f>
        <v/>
      </c>
    </row>
    <row r="388" spans="1:6" x14ac:dyDescent="0.25">
      <c r="A388" s="116" t="s">
        <v>1396</v>
      </c>
      <c r="B388" s="114"/>
      <c r="C388" s="111" t="str">
        <f t="shared" si="17"/>
        <v/>
      </c>
      <c r="D388" s="115"/>
      <c r="E388" s="113" t="str">
        <f t="shared" si="18"/>
        <v/>
      </c>
      <c r="F388" s="111" t="str">
        <f t="shared" si="19"/>
        <v/>
      </c>
    </row>
    <row r="389" spans="1:6" x14ac:dyDescent="0.25">
      <c r="A389" s="116" t="s">
        <v>1397</v>
      </c>
      <c r="B389" s="114"/>
      <c r="C389" s="111" t="str">
        <f t="shared" si="17"/>
        <v/>
      </c>
      <c r="D389" s="115"/>
      <c r="E389" s="113" t="str">
        <f t="shared" si="18"/>
        <v/>
      </c>
      <c r="F389" s="111" t="str">
        <f t="shared" si="19"/>
        <v/>
      </c>
    </row>
    <row r="390" spans="1:6" x14ac:dyDescent="0.25">
      <c r="A390" s="116" t="s">
        <v>1398</v>
      </c>
      <c r="B390" s="114"/>
      <c r="C390" s="111" t="str">
        <f t="shared" si="17"/>
        <v/>
      </c>
      <c r="D390" s="115"/>
      <c r="E390" s="113" t="str">
        <f t="shared" si="18"/>
        <v/>
      </c>
      <c r="F390" s="111" t="str">
        <f t="shared" si="19"/>
        <v/>
      </c>
    </row>
    <row r="391" spans="1:6" x14ac:dyDescent="0.25">
      <c r="A391" s="116" t="s">
        <v>1399</v>
      </c>
      <c r="B391" s="114"/>
      <c r="C391" s="111" t="str">
        <f t="shared" si="17"/>
        <v/>
      </c>
      <c r="D391" s="115"/>
      <c r="E391" s="113" t="str">
        <f t="shared" si="18"/>
        <v/>
      </c>
      <c r="F391" s="111" t="str">
        <f t="shared" si="19"/>
        <v/>
      </c>
    </row>
    <row r="392" spans="1:6" x14ac:dyDescent="0.25">
      <c r="A392" s="116" t="s">
        <v>1400</v>
      </c>
      <c r="B392" s="114"/>
      <c r="C392" s="111" t="str">
        <f t="shared" si="17"/>
        <v/>
      </c>
      <c r="D392" s="115"/>
      <c r="E392" s="113" t="str">
        <f t="shared" si="18"/>
        <v/>
      </c>
      <c r="F392" s="111" t="str">
        <f t="shared" si="19"/>
        <v/>
      </c>
    </row>
    <row r="393" spans="1:6" x14ac:dyDescent="0.25">
      <c r="A393" s="116" t="s">
        <v>1401</v>
      </c>
      <c r="B393" s="114"/>
      <c r="C393" s="111" t="str">
        <f t="shared" si="17"/>
        <v/>
      </c>
      <c r="D393" s="115"/>
      <c r="E393" s="113" t="str">
        <f t="shared" si="18"/>
        <v/>
      </c>
      <c r="F393" s="111" t="str">
        <f t="shared" si="19"/>
        <v/>
      </c>
    </row>
    <row r="394" spans="1:6" x14ac:dyDescent="0.25">
      <c r="A394" s="116" t="s">
        <v>1402</v>
      </c>
      <c r="B394" s="114"/>
      <c r="C394" s="111" t="str">
        <f t="shared" ref="C394:C457" si="20">IF(ISNA(VLOOKUP(B394,$A$1:$A$1000,1,FALSE)),"","Yes")</f>
        <v/>
      </c>
      <c r="D394" s="115"/>
      <c r="E394" s="113" t="str">
        <f t="shared" si="18"/>
        <v/>
      </c>
      <c r="F394" s="111" t="str">
        <f t="shared" si="19"/>
        <v/>
      </c>
    </row>
    <row r="395" spans="1:6" x14ac:dyDescent="0.25">
      <c r="A395" s="116" t="s">
        <v>1403</v>
      </c>
      <c r="B395" s="114"/>
      <c r="C395" s="111" t="str">
        <f t="shared" si="20"/>
        <v/>
      </c>
      <c r="D395" s="115"/>
      <c r="E395" s="113" t="str">
        <f t="shared" si="18"/>
        <v/>
      </c>
      <c r="F395" s="111" t="str">
        <f t="shared" si="19"/>
        <v/>
      </c>
    </row>
    <row r="396" spans="1:6" x14ac:dyDescent="0.25">
      <c r="A396" s="116" t="s">
        <v>1404</v>
      </c>
      <c r="B396" s="114"/>
      <c r="C396" s="111" t="str">
        <f t="shared" si="20"/>
        <v/>
      </c>
      <c r="D396" s="115"/>
      <c r="E396" s="113" t="str">
        <f t="shared" si="18"/>
        <v/>
      </c>
      <c r="F396" s="111" t="str">
        <f t="shared" si="19"/>
        <v/>
      </c>
    </row>
    <row r="397" spans="1:6" x14ac:dyDescent="0.25">
      <c r="A397" s="116" t="s">
        <v>1405</v>
      </c>
      <c r="B397" s="114"/>
      <c r="C397" s="111" t="str">
        <f t="shared" si="20"/>
        <v/>
      </c>
      <c r="D397" s="115"/>
      <c r="E397" s="113" t="str">
        <f t="shared" si="18"/>
        <v/>
      </c>
      <c r="F397" s="111" t="str">
        <f t="shared" si="19"/>
        <v/>
      </c>
    </row>
    <row r="398" spans="1:6" x14ac:dyDescent="0.25">
      <c r="A398" s="116" t="s">
        <v>1406</v>
      </c>
      <c r="B398" s="114"/>
      <c r="C398" s="111" t="str">
        <f t="shared" si="20"/>
        <v/>
      </c>
      <c r="D398" s="115"/>
      <c r="E398" s="113" t="str">
        <f t="shared" si="18"/>
        <v/>
      </c>
      <c r="F398" s="111" t="str">
        <f t="shared" si="19"/>
        <v/>
      </c>
    </row>
    <row r="399" spans="1:6" x14ac:dyDescent="0.25">
      <c r="A399" s="116" t="s">
        <v>1407</v>
      </c>
      <c r="B399" s="114"/>
      <c r="C399" s="111" t="str">
        <f t="shared" si="20"/>
        <v/>
      </c>
      <c r="D399" s="115"/>
      <c r="E399" s="113" t="str">
        <f t="shared" si="18"/>
        <v/>
      </c>
      <c r="F399" s="111" t="str">
        <f t="shared" si="19"/>
        <v/>
      </c>
    </row>
    <row r="400" spans="1:6" x14ac:dyDescent="0.25">
      <c r="A400" s="116" t="s">
        <v>1408</v>
      </c>
      <c r="B400" s="114"/>
      <c r="C400" s="111" t="str">
        <f t="shared" si="20"/>
        <v/>
      </c>
      <c r="D400" s="115"/>
      <c r="E400" s="113" t="str">
        <f t="shared" si="18"/>
        <v/>
      </c>
      <c r="F400" s="111" t="str">
        <f t="shared" si="19"/>
        <v/>
      </c>
    </row>
    <row r="401" spans="1:6" x14ac:dyDescent="0.25">
      <c r="A401" s="116" t="s">
        <v>1409</v>
      </c>
      <c r="B401" s="114"/>
      <c r="C401" s="111" t="str">
        <f t="shared" si="20"/>
        <v/>
      </c>
      <c r="D401" s="115"/>
      <c r="E401" s="113" t="str">
        <f t="shared" si="18"/>
        <v/>
      </c>
      <c r="F401" s="111" t="str">
        <f t="shared" si="19"/>
        <v/>
      </c>
    </row>
    <row r="402" spans="1:6" x14ac:dyDescent="0.25">
      <c r="A402" s="116" t="s">
        <v>1410</v>
      </c>
      <c r="B402" s="114"/>
      <c r="C402" s="111" t="str">
        <f t="shared" si="20"/>
        <v/>
      </c>
      <c r="D402" s="115"/>
      <c r="E402" s="113" t="str">
        <f t="shared" si="18"/>
        <v/>
      </c>
      <c r="F402" s="111" t="str">
        <f t="shared" si="19"/>
        <v/>
      </c>
    </row>
    <row r="403" spans="1:6" x14ac:dyDescent="0.25">
      <c r="A403" s="116" t="s">
        <v>1411</v>
      </c>
      <c r="B403" s="114"/>
      <c r="C403" s="111" t="str">
        <f t="shared" si="20"/>
        <v/>
      </c>
      <c r="D403" s="115"/>
      <c r="E403" s="113" t="str">
        <f t="shared" si="18"/>
        <v/>
      </c>
      <c r="F403" s="111" t="str">
        <f t="shared" si="19"/>
        <v/>
      </c>
    </row>
    <row r="404" spans="1:6" x14ac:dyDescent="0.25">
      <c r="A404" s="116" t="s">
        <v>1412</v>
      </c>
      <c r="B404" s="114"/>
      <c r="C404" s="111" t="str">
        <f t="shared" si="20"/>
        <v/>
      </c>
      <c r="D404" s="115"/>
      <c r="E404" s="113" t="str">
        <f t="shared" si="18"/>
        <v/>
      </c>
      <c r="F404" s="111" t="str">
        <f t="shared" si="19"/>
        <v/>
      </c>
    </row>
    <row r="405" spans="1:6" x14ac:dyDescent="0.25">
      <c r="A405" s="116" t="s">
        <v>1413</v>
      </c>
      <c r="B405" s="114"/>
      <c r="C405" s="111" t="str">
        <f t="shared" si="20"/>
        <v/>
      </c>
      <c r="D405" s="115"/>
      <c r="E405" s="113" t="str">
        <f t="shared" si="18"/>
        <v/>
      </c>
      <c r="F405" s="111" t="str">
        <f t="shared" si="19"/>
        <v/>
      </c>
    </row>
    <row r="406" spans="1:6" x14ac:dyDescent="0.25">
      <c r="A406" s="116" t="s">
        <v>1414</v>
      </c>
      <c r="B406" s="114"/>
      <c r="C406" s="111" t="str">
        <f t="shared" si="20"/>
        <v/>
      </c>
      <c r="D406" s="115"/>
      <c r="E406" s="113" t="str">
        <f t="shared" si="18"/>
        <v/>
      </c>
      <c r="F406" s="111" t="str">
        <f t="shared" si="19"/>
        <v/>
      </c>
    </row>
    <row r="407" spans="1:6" x14ac:dyDescent="0.25">
      <c r="A407" s="116" t="s">
        <v>1415</v>
      </c>
      <c r="B407" s="114"/>
      <c r="C407" s="111" t="str">
        <f t="shared" si="20"/>
        <v/>
      </c>
      <c r="D407" s="115"/>
      <c r="E407" s="113" t="str">
        <f t="shared" si="18"/>
        <v/>
      </c>
      <c r="F407" s="111" t="str">
        <f t="shared" si="19"/>
        <v/>
      </c>
    </row>
    <row r="408" spans="1:6" x14ac:dyDescent="0.25">
      <c r="A408" s="116" t="s">
        <v>1416</v>
      </c>
      <c r="B408" s="114"/>
      <c r="C408" s="111" t="str">
        <f t="shared" si="20"/>
        <v/>
      </c>
      <c r="D408" s="115"/>
      <c r="E408" s="113" t="str">
        <f t="shared" si="18"/>
        <v/>
      </c>
      <c r="F408" s="111" t="str">
        <f t="shared" si="19"/>
        <v/>
      </c>
    </row>
    <row r="409" spans="1:6" x14ac:dyDescent="0.25">
      <c r="A409" s="116" t="s">
        <v>1417</v>
      </c>
      <c r="B409" s="114"/>
      <c r="C409" s="111" t="str">
        <f t="shared" si="20"/>
        <v/>
      </c>
      <c r="D409" s="115"/>
      <c r="E409" s="113" t="str">
        <f t="shared" si="18"/>
        <v/>
      </c>
      <c r="F409" s="111" t="str">
        <f t="shared" si="19"/>
        <v/>
      </c>
    </row>
    <row r="410" spans="1:6" x14ac:dyDescent="0.25">
      <c r="A410" s="116" t="s">
        <v>1418</v>
      </c>
      <c r="B410" s="114"/>
      <c r="C410" s="111" t="str">
        <f t="shared" si="20"/>
        <v/>
      </c>
      <c r="D410" s="115"/>
      <c r="E410" s="113" t="str">
        <f t="shared" si="18"/>
        <v/>
      </c>
      <c r="F410" s="111" t="str">
        <f t="shared" si="19"/>
        <v/>
      </c>
    </row>
    <row r="411" spans="1:6" x14ac:dyDescent="0.25">
      <c r="A411" s="116" t="s">
        <v>1419</v>
      </c>
      <c r="B411" s="114"/>
      <c r="C411" s="111" t="str">
        <f t="shared" si="20"/>
        <v/>
      </c>
      <c r="D411" s="115"/>
      <c r="E411" s="113" t="str">
        <f t="shared" si="18"/>
        <v/>
      </c>
      <c r="F411" s="111" t="str">
        <f t="shared" si="19"/>
        <v/>
      </c>
    </row>
    <row r="412" spans="1:6" x14ac:dyDescent="0.25">
      <c r="A412" s="116" t="s">
        <v>1420</v>
      </c>
      <c r="B412" s="114"/>
      <c r="C412" s="111" t="str">
        <f t="shared" si="20"/>
        <v/>
      </c>
      <c r="D412" s="115"/>
      <c r="E412" s="113" t="str">
        <f t="shared" si="18"/>
        <v/>
      </c>
      <c r="F412" s="111" t="str">
        <f t="shared" si="19"/>
        <v/>
      </c>
    </row>
    <row r="413" spans="1:6" x14ac:dyDescent="0.25">
      <c r="A413" s="116" t="s">
        <v>1421</v>
      </c>
      <c r="B413" s="114"/>
      <c r="C413" s="111" t="str">
        <f t="shared" si="20"/>
        <v/>
      </c>
      <c r="D413" s="115"/>
      <c r="E413" s="113" t="str">
        <f t="shared" si="18"/>
        <v/>
      </c>
      <c r="F413" s="111" t="str">
        <f t="shared" si="19"/>
        <v/>
      </c>
    </row>
    <row r="414" spans="1:6" x14ac:dyDescent="0.25">
      <c r="A414" s="116" t="s">
        <v>1422</v>
      </c>
      <c r="B414" s="114"/>
      <c r="C414" s="111" t="str">
        <f t="shared" si="20"/>
        <v/>
      </c>
      <c r="D414" s="115"/>
      <c r="E414" s="113" t="str">
        <f t="shared" si="18"/>
        <v/>
      </c>
      <c r="F414" s="111" t="str">
        <f t="shared" si="19"/>
        <v/>
      </c>
    </row>
    <row r="415" spans="1:6" x14ac:dyDescent="0.25">
      <c r="A415" s="116" t="s">
        <v>1423</v>
      </c>
      <c r="B415" s="114"/>
      <c r="C415" s="111" t="str">
        <f t="shared" si="20"/>
        <v/>
      </c>
      <c r="D415" s="115"/>
      <c r="E415" s="113" t="str">
        <f t="shared" si="18"/>
        <v/>
      </c>
      <c r="F415" s="111" t="str">
        <f t="shared" si="19"/>
        <v/>
      </c>
    </row>
    <row r="416" spans="1:6" x14ac:dyDescent="0.25">
      <c r="A416" s="116" t="s">
        <v>1424</v>
      </c>
      <c r="B416" s="114"/>
      <c r="C416" s="111" t="str">
        <f t="shared" si="20"/>
        <v/>
      </c>
      <c r="D416" s="115"/>
      <c r="E416" s="113" t="str">
        <f t="shared" si="18"/>
        <v/>
      </c>
      <c r="F416" s="111" t="str">
        <f t="shared" si="19"/>
        <v/>
      </c>
    </row>
    <row r="417" spans="1:6" x14ac:dyDescent="0.25">
      <c r="A417" s="116" t="s">
        <v>1425</v>
      </c>
      <c r="B417" s="114"/>
      <c r="C417" s="111" t="str">
        <f t="shared" si="20"/>
        <v/>
      </c>
      <c r="D417" s="115"/>
      <c r="E417" s="113" t="str">
        <f t="shared" si="18"/>
        <v/>
      </c>
      <c r="F417" s="111" t="str">
        <f t="shared" si="19"/>
        <v/>
      </c>
    </row>
    <row r="418" spans="1:6" x14ac:dyDescent="0.25">
      <c r="A418" s="116" t="s">
        <v>1426</v>
      </c>
      <c r="B418" s="114"/>
      <c r="C418" s="111" t="str">
        <f t="shared" si="20"/>
        <v/>
      </c>
      <c r="D418" s="115"/>
      <c r="E418" s="113" t="str">
        <f t="shared" si="18"/>
        <v/>
      </c>
      <c r="F418" s="111" t="str">
        <f t="shared" si="19"/>
        <v/>
      </c>
    </row>
    <row r="419" spans="1:6" x14ac:dyDescent="0.25">
      <c r="A419" s="116" t="s">
        <v>1427</v>
      </c>
      <c r="B419" s="114"/>
      <c r="C419" s="111" t="str">
        <f t="shared" si="20"/>
        <v/>
      </c>
      <c r="D419" s="115"/>
      <c r="E419" s="113" t="str">
        <f t="shared" si="18"/>
        <v/>
      </c>
      <c r="F419" s="111" t="str">
        <f t="shared" si="19"/>
        <v/>
      </c>
    </row>
    <row r="420" spans="1:6" x14ac:dyDescent="0.25">
      <c r="A420" s="116" t="s">
        <v>1428</v>
      </c>
      <c r="B420" s="114"/>
      <c r="C420" s="111" t="str">
        <f t="shared" si="20"/>
        <v/>
      </c>
      <c r="D420" s="115"/>
      <c r="E420" s="113" t="str">
        <f t="shared" si="18"/>
        <v/>
      </c>
      <c r="F420" s="111" t="str">
        <f t="shared" si="19"/>
        <v/>
      </c>
    </row>
    <row r="421" spans="1:6" x14ac:dyDescent="0.25">
      <c r="A421" s="116" t="s">
        <v>1429</v>
      </c>
      <c r="B421" s="114"/>
      <c r="C421" s="111" t="str">
        <f t="shared" si="20"/>
        <v/>
      </c>
      <c r="D421" s="115"/>
      <c r="E421" s="113" t="str">
        <f t="shared" si="18"/>
        <v/>
      </c>
      <c r="F421" s="111" t="str">
        <f t="shared" si="19"/>
        <v/>
      </c>
    </row>
    <row r="422" spans="1:6" x14ac:dyDescent="0.25">
      <c r="A422" s="116" t="s">
        <v>1430</v>
      </c>
      <c r="B422" s="114"/>
      <c r="C422" s="111" t="str">
        <f t="shared" si="20"/>
        <v/>
      </c>
      <c r="D422" s="115"/>
      <c r="E422" s="113" t="str">
        <f t="shared" si="18"/>
        <v/>
      </c>
      <c r="F422" s="111" t="str">
        <f t="shared" si="19"/>
        <v/>
      </c>
    </row>
    <row r="423" spans="1:6" x14ac:dyDescent="0.25">
      <c r="A423" s="116" t="s">
        <v>1431</v>
      </c>
      <c r="B423" s="114"/>
      <c r="C423" s="111" t="str">
        <f t="shared" si="20"/>
        <v/>
      </c>
      <c r="D423" s="115"/>
      <c r="E423" s="113" t="str">
        <f t="shared" si="18"/>
        <v/>
      </c>
      <c r="F423" s="111" t="str">
        <f t="shared" si="19"/>
        <v/>
      </c>
    </row>
    <row r="424" spans="1:6" x14ac:dyDescent="0.25">
      <c r="A424" s="116" t="s">
        <v>1432</v>
      </c>
      <c r="B424" s="114"/>
      <c r="C424" s="111" t="str">
        <f t="shared" si="20"/>
        <v/>
      </c>
      <c r="D424" s="115"/>
      <c r="E424" s="113" t="str">
        <f t="shared" si="18"/>
        <v/>
      </c>
      <c r="F424" s="111" t="str">
        <f t="shared" si="19"/>
        <v/>
      </c>
    </row>
    <row r="425" spans="1:6" x14ac:dyDescent="0.25">
      <c r="A425" s="116" t="s">
        <v>1433</v>
      </c>
      <c r="B425" s="114"/>
      <c r="C425" s="111" t="str">
        <f t="shared" si="20"/>
        <v/>
      </c>
      <c r="D425" s="115"/>
      <c r="E425" s="113" t="str">
        <f t="shared" si="18"/>
        <v/>
      </c>
      <c r="F425" s="111" t="str">
        <f t="shared" si="19"/>
        <v/>
      </c>
    </row>
    <row r="426" spans="1:6" x14ac:dyDescent="0.25">
      <c r="A426" s="116" t="s">
        <v>1434</v>
      </c>
      <c r="B426" s="114"/>
      <c r="C426" s="111" t="str">
        <f t="shared" si="20"/>
        <v/>
      </c>
      <c r="D426" s="115"/>
      <c r="E426" s="113" t="str">
        <f t="shared" si="18"/>
        <v/>
      </c>
      <c r="F426" s="111" t="str">
        <f t="shared" si="19"/>
        <v/>
      </c>
    </row>
    <row r="427" spans="1:6" x14ac:dyDescent="0.25">
      <c r="A427" s="116" t="s">
        <v>1435</v>
      </c>
      <c r="B427" s="114"/>
      <c r="C427" s="111" t="str">
        <f t="shared" si="20"/>
        <v/>
      </c>
      <c r="D427" s="115"/>
      <c r="E427" s="113" t="str">
        <f t="shared" si="18"/>
        <v/>
      </c>
      <c r="F427" s="111" t="str">
        <f t="shared" si="19"/>
        <v/>
      </c>
    </row>
    <row r="428" spans="1:6" x14ac:dyDescent="0.25">
      <c r="A428" s="116" t="s">
        <v>1436</v>
      </c>
      <c r="B428" s="114"/>
      <c r="C428" s="111" t="str">
        <f t="shared" si="20"/>
        <v/>
      </c>
      <c r="D428" s="115"/>
      <c r="E428" s="113" t="str">
        <f t="shared" si="18"/>
        <v/>
      </c>
      <c r="F428" s="111" t="str">
        <f t="shared" si="19"/>
        <v/>
      </c>
    </row>
    <row r="429" spans="1:6" x14ac:dyDescent="0.25">
      <c r="A429" s="116" t="s">
        <v>1437</v>
      </c>
      <c r="B429" s="114"/>
      <c r="C429" s="111" t="str">
        <f t="shared" si="20"/>
        <v/>
      </c>
      <c r="D429" s="115"/>
      <c r="E429" s="113" t="str">
        <f t="shared" si="18"/>
        <v/>
      </c>
      <c r="F429" s="111" t="str">
        <f t="shared" si="19"/>
        <v/>
      </c>
    </row>
    <row r="430" spans="1:6" x14ac:dyDescent="0.25">
      <c r="A430" s="116" t="s">
        <v>1438</v>
      </c>
      <c r="B430" s="114"/>
      <c r="C430" s="111" t="str">
        <f t="shared" si="20"/>
        <v/>
      </c>
      <c r="D430" s="115"/>
      <c r="E430" s="113" t="str">
        <f t="shared" si="18"/>
        <v/>
      </c>
      <c r="F430" s="111" t="str">
        <f t="shared" si="19"/>
        <v/>
      </c>
    </row>
    <row r="431" spans="1:6" x14ac:dyDescent="0.25">
      <c r="A431" s="116" t="s">
        <v>1439</v>
      </c>
      <c r="B431" s="114"/>
      <c r="C431" s="111" t="str">
        <f t="shared" si="20"/>
        <v/>
      </c>
      <c r="D431" s="115"/>
      <c r="E431" s="113" t="str">
        <f t="shared" si="18"/>
        <v/>
      </c>
      <c r="F431" s="111" t="str">
        <f t="shared" si="19"/>
        <v/>
      </c>
    </row>
    <row r="432" spans="1:6" x14ac:dyDescent="0.25">
      <c r="A432" s="116" t="s">
        <v>1440</v>
      </c>
      <c r="B432" s="114"/>
      <c r="C432" s="111" t="str">
        <f t="shared" si="20"/>
        <v/>
      </c>
      <c r="D432" s="115"/>
      <c r="E432" s="113" t="str">
        <f t="shared" si="18"/>
        <v/>
      </c>
      <c r="F432" s="111" t="str">
        <f t="shared" si="19"/>
        <v/>
      </c>
    </row>
    <row r="433" spans="1:6" x14ac:dyDescent="0.25">
      <c r="A433" s="116" t="s">
        <v>1441</v>
      </c>
      <c r="B433" s="114"/>
      <c r="C433" s="111" t="str">
        <f t="shared" si="20"/>
        <v/>
      </c>
      <c r="D433" s="115"/>
      <c r="E433" s="113" t="str">
        <f t="shared" si="18"/>
        <v/>
      </c>
      <c r="F433" s="111" t="str">
        <f t="shared" si="19"/>
        <v/>
      </c>
    </row>
    <row r="434" spans="1:6" x14ac:dyDescent="0.25">
      <c r="A434" s="116" t="s">
        <v>1442</v>
      </c>
      <c r="B434" s="114"/>
      <c r="C434" s="111" t="str">
        <f t="shared" si="20"/>
        <v/>
      </c>
      <c r="D434" s="115"/>
      <c r="E434" s="113" t="str">
        <f t="shared" si="18"/>
        <v/>
      </c>
      <c r="F434" s="111" t="str">
        <f t="shared" si="19"/>
        <v/>
      </c>
    </row>
    <row r="435" spans="1:6" x14ac:dyDescent="0.25">
      <c r="A435" s="116" t="s">
        <v>1443</v>
      </c>
      <c r="B435" s="114"/>
      <c r="C435" s="111" t="str">
        <f t="shared" si="20"/>
        <v/>
      </c>
      <c r="D435" s="115"/>
      <c r="E435" s="113" t="str">
        <f t="shared" si="18"/>
        <v/>
      </c>
      <c r="F435" s="111" t="str">
        <f t="shared" si="19"/>
        <v/>
      </c>
    </row>
    <row r="436" spans="1:6" x14ac:dyDescent="0.25">
      <c r="A436" s="116" t="s">
        <v>1444</v>
      </c>
      <c r="B436" s="114"/>
      <c r="C436" s="111" t="str">
        <f t="shared" si="20"/>
        <v/>
      </c>
      <c r="D436" s="115"/>
      <c r="E436" s="113" t="str">
        <f t="shared" si="18"/>
        <v/>
      </c>
      <c r="F436" s="111" t="str">
        <f t="shared" si="19"/>
        <v/>
      </c>
    </row>
    <row r="437" spans="1:6" x14ac:dyDescent="0.25">
      <c r="A437" s="116" t="s">
        <v>1445</v>
      </c>
      <c r="B437" s="114"/>
      <c r="C437" s="111" t="str">
        <f t="shared" si="20"/>
        <v/>
      </c>
      <c r="D437" s="115"/>
      <c r="E437" s="113" t="str">
        <f t="shared" si="18"/>
        <v/>
      </c>
      <c r="F437" s="111" t="str">
        <f t="shared" si="19"/>
        <v/>
      </c>
    </row>
    <row r="438" spans="1:6" x14ac:dyDescent="0.25">
      <c r="A438" s="116" t="s">
        <v>1446</v>
      </c>
      <c r="B438" s="114"/>
      <c r="C438" s="111" t="str">
        <f t="shared" si="20"/>
        <v/>
      </c>
      <c r="D438" s="115"/>
      <c r="E438" s="113" t="str">
        <f t="shared" si="18"/>
        <v/>
      </c>
      <c r="F438" s="111" t="str">
        <f t="shared" si="19"/>
        <v/>
      </c>
    </row>
    <row r="439" spans="1:6" x14ac:dyDescent="0.25">
      <c r="A439" s="116" t="s">
        <v>1447</v>
      </c>
      <c r="B439" s="114"/>
      <c r="C439" s="111" t="str">
        <f t="shared" si="20"/>
        <v/>
      </c>
      <c r="D439" s="115"/>
      <c r="E439" s="113" t="str">
        <f t="shared" si="18"/>
        <v/>
      </c>
      <c r="F439" s="111" t="str">
        <f t="shared" si="19"/>
        <v/>
      </c>
    </row>
    <row r="440" spans="1:6" x14ac:dyDescent="0.25">
      <c r="A440" s="116" t="s">
        <v>1448</v>
      </c>
      <c r="B440" s="114"/>
      <c r="C440" s="111" t="str">
        <f t="shared" si="20"/>
        <v/>
      </c>
      <c r="D440" s="115"/>
      <c r="E440" s="113" t="str">
        <f t="shared" si="18"/>
        <v/>
      </c>
      <c r="F440" s="111" t="str">
        <f t="shared" si="19"/>
        <v/>
      </c>
    </row>
    <row r="441" spans="1:6" x14ac:dyDescent="0.25">
      <c r="A441" s="116" t="s">
        <v>1449</v>
      </c>
      <c r="B441" s="114"/>
      <c r="C441" s="111" t="str">
        <f t="shared" si="20"/>
        <v/>
      </c>
      <c r="D441" s="115"/>
      <c r="E441" s="113" t="str">
        <f t="shared" si="18"/>
        <v/>
      </c>
      <c r="F441" s="111" t="str">
        <f t="shared" si="19"/>
        <v/>
      </c>
    </row>
    <row r="442" spans="1:6" x14ac:dyDescent="0.25">
      <c r="A442" s="116" t="s">
        <v>1450</v>
      </c>
      <c r="B442" s="114"/>
      <c r="C442" s="111" t="str">
        <f t="shared" si="20"/>
        <v/>
      </c>
      <c r="D442" s="115"/>
      <c r="E442" s="113" t="str">
        <f t="shared" si="18"/>
        <v/>
      </c>
      <c r="F442" s="111" t="str">
        <f t="shared" si="19"/>
        <v/>
      </c>
    </row>
    <row r="443" spans="1:6" x14ac:dyDescent="0.25">
      <c r="A443" s="116" t="s">
        <v>1451</v>
      </c>
      <c r="B443" s="114"/>
      <c r="C443" s="111" t="str">
        <f t="shared" si="20"/>
        <v/>
      </c>
      <c r="D443" s="115"/>
      <c r="E443" s="113" t="str">
        <f t="shared" si="18"/>
        <v/>
      </c>
      <c r="F443" s="111" t="str">
        <f t="shared" si="19"/>
        <v/>
      </c>
    </row>
    <row r="444" spans="1:6" x14ac:dyDescent="0.25">
      <c r="A444" s="116" t="s">
        <v>1452</v>
      </c>
      <c r="B444" s="114"/>
      <c r="C444" s="111" t="str">
        <f t="shared" si="20"/>
        <v/>
      </c>
      <c r="D444" s="115"/>
      <c r="E444" s="113" t="str">
        <f t="shared" si="18"/>
        <v/>
      </c>
      <c r="F444" s="111" t="str">
        <f t="shared" si="19"/>
        <v/>
      </c>
    </row>
    <row r="445" spans="1:6" x14ac:dyDescent="0.25">
      <c r="A445" s="116" t="s">
        <v>1453</v>
      </c>
      <c r="B445" s="114"/>
      <c r="C445" s="111" t="str">
        <f t="shared" si="20"/>
        <v/>
      </c>
      <c r="D445" s="115"/>
      <c r="E445" s="113" t="str">
        <f t="shared" si="18"/>
        <v/>
      </c>
      <c r="F445" s="111" t="str">
        <f t="shared" si="19"/>
        <v/>
      </c>
    </row>
    <row r="446" spans="1:6" x14ac:dyDescent="0.25">
      <c r="A446" s="116" t="s">
        <v>1454</v>
      </c>
      <c r="B446" s="114"/>
      <c r="C446" s="111" t="str">
        <f t="shared" si="20"/>
        <v/>
      </c>
      <c r="D446" s="115"/>
      <c r="E446" s="113" t="str">
        <f t="shared" si="18"/>
        <v/>
      </c>
      <c r="F446" s="111" t="str">
        <f t="shared" si="19"/>
        <v/>
      </c>
    </row>
    <row r="447" spans="1:6" x14ac:dyDescent="0.25">
      <c r="A447" s="116" t="s">
        <v>1455</v>
      </c>
      <c r="B447" s="114"/>
      <c r="C447" s="111" t="str">
        <f t="shared" si="20"/>
        <v/>
      </c>
      <c r="D447" s="115"/>
      <c r="E447" s="113" t="str">
        <f t="shared" si="18"/>
        <v/>
      </c>
      <c r="F447" s="111" t="str">
        <f t="shared" si="19"/>
        <v/>
      </c>
    </row>
    <row r="448" spans="1:6" x14ac:dyDescent="0.25">
      <c r="A448" s="116" t="s">
        <v>1456</v>
      </c>
      <c r="B448" s="114"/>
      <c r="C448" s="111" t="str">
        <f t="shared" si="20"/>
        <v/>
      </c>
      <c r="D448" s="115"/>
      <c r="E448" s="113" t="str">
        <f t="shared" si="18"/>
        <v/>
      </c>
      <c r="F448" s="111" t="str">
        <f t="shared" si="19"/>
        <v/>
      </c>
    </row>
    <row r="449" spans="1:6" x14ac:dyDescent="0.25">
      <c r="A449" s="116" t="s">
        <v>1457</v>
      </c>
      <c r="B449" s="114"/>
      <c r="C449" s="111" t="str">
        <f t="shared" si="20"/>
        <v/>
      </c>
      <c r="D449" s="115"/>
      <c r="E449" s="113" t="str">
        <f t="shared" si="18"/>
        <v/>
      </c>
      <c r="F449" s="111" t="str">
        <f t="shared" si="19"/>
        <v/>
      </c>
    </row>
    <row r="450" spans="1:6" x14ac:dyDescent="0.25">
      <c r="A450" s="116" t="s">
        <v>1458</v>
      </c>
      <c r="B450" s="114"/>
      <c r="C450" s="111" t="str">
        <f t="shared" si="20"/>
        <v/>
      </c>
      <c r="D450" s="115"/>
      <c r="E450" s="113" t="str">
        <f t="shared" si="18"/>
        <v/>
      </c>
      <c r="F450" s="111" t="str">
        <f t="shared" si="19"/>
        <v/>
      </c>
    </row>
    <row r="451" spans="1:6" x14ac:dyDescent="0.25">
      <c r="A451" s="116" t="s">
        <v>1459</v>
      </c>
      <c r="B451" s="114"/>
      <c r="C451" s="111" t="str">
        <f t="shared" si="20"/>
        <v/>
      </c>
      <c r="D451" s="115"/>
      <c r="E451" s="113" t="str">
        <f t="shared" ref="E451:E514" si="21">IFERROR(MATCH(A451,$D$2:$D$1000,),"")</f>
        <v/>
      </c>
      <c r="F451" s="111" t="str">
        <f t="shared" ref="F451:F514" si="22">IF(E451&lt;&gt;"",INDEX($D$2:$D$1000,E451,1),"")</f>
        <v/>
      </c>
    </row>
    <row r="452" spans="1:6" x14ac:dyDescent="0.25">
      <c r="A452" s="116" t="s">
        <v>1059</v>
      </c>
      <c r="B452" s="114"/>
      <c r="C452" s="111" t="str">
        <f t="shared" si="20"/>
        <v/>
      </c>
      <c r="D452" s="115"/>
      <c r="E452" s="113">
        <f t="shared" si="21"/>
        <v>1</v>
      </c>
      <c r="F452" s="111" t="str">
        <f t="shared" si="22"/>
        <v>FHG1334R01N</v>
      </c>
    </row>
    <row r="453" spans="1:6" x14ac:dyDescent="0.25">
      <c r="A453" s="116" t="s">
        <v>1460</v>
      </c>
      <c r="B453" s="114"/>
      <c r="C453" s="111" t="str">
        <f t="shared" si="20"/>
        <v/>
      </c>
      <c r="D453" s="115"/>
      <c r="E453" s="113" t="str">
        <f t="shared" si="21"/>
        <v/>
      </c>
      <c r="F453" s="111" t="str">
        <f t="shared" si="22"/>
        <v/>
      </c>
    </row>
    <row r="454" spans="1:6" x14ac:dyDescent="0.25">
      <c r="A454" s="116" t="s">
        <v>1063</v>
      </c>
      <c r="B454" s="114"/>
      <c r="C454" s="111" t="str">
        <f t="shared" si="20"/>
        <v/>
      </c>
      <c r="D454" s="115"/>
      <c r="E454" s="113">
        <f t="shared" si="21"/>
        <v>8</v>
      </c>
      <c r="F454" s="111" t="str">
        <f t="shared" si="22"/>
        <v>FHG1334R01Q</v>
      </c>
    </row>
    <row r="455" spans="1:6" x14ac:dyDescent="0.25">
      <c r="A455" s="116" t="s">
        <v>1461</v>
      </c>
      <c r="B455" s="114"/>
      <c r="C455" s="111" t="str">
        <f t="shared" si="20"/>
        <v/>
      </c>
      <c r="D455" s="115"/>
      <c r="E455" s="113" t="str">
        <f t="shared" si="21"/>
        <v/>
      </c>
      <c r="F455" s="111" t="str">
        <f t="shared" si="22"/>
        <v/>
      </c>
    </row>
    <row r="456" spans="1:6" x14ac:dyDescent="0.25">
      <c r="A456" s="116" t="s">
        <v>1462</v>
      </c>
      <c r="B456" s="114"/>
      <c r="C456" s="111" t="str">
        <f t="shared" si="20"/>
        <v/>
      </c>
      <c r="D456" s="115"/>
      <c r="E456" s="113" t="str">
        <f t="shared" si="21"/>
        <v/>
      </c>
      <c r="F456" s="111" t="str">
        <f t="shared" si="22"/>
        <v/>
      </c>
    </row>
    <row r="457" spans="1:6" x14ac:dyDescent="0.25">
      <c r="A457" s="116" t="s">
        <v>1463</v>
      </c>
      <c r="B457" s="114"/>
      <c r="C457" s="111" t="str">
        <f t="shared" si="20"/>
        <v/>
      </c>
      <c r="D457" s="115"/>
      <c r="E457" s="113" t="str">
        <f t="shared" si="21"/>
        <v/>
      </c>
      <c r="F457" s="111" t="str">
        <f t="shared" si="22"/>
        <v/>
      </c>
    </row>
    <row r="458" spans="1:6" x14ac:dyDescent="0.25">
      <c r="A458" s="116" t="s">
        <v>1464</v>
      </c>
      <c r="B458" s="114"/>
      <c r="C458" s="111" t="str">
        <f t="shared" ref="C458:C521" si="23">IF(ISNA(VLOOKUP(B458,$A$1:$A$1000,1,FALSE)),"","Yes")</f>
        <v/>
      </c>
      <c r="D458" s="115"/>
      <c r="E458" s="113" t="str">
        <f t="shared" si="21"/>
        <v/>
      </c>
      <c r="F458" s="111" t="str">
        <f t="shared" si="22"/>
        <v/>
      </c>
    </row>
    <row r="459" spans="1:6" x14ac:dyDescent="0.25">
      <c r="A459" s="116" t="s">
        <v>1465</v>
      </c>
      <c r="B459" s="114"/>
      <c r="C459" s="111" t="str">
        <f t="shared" si="23"/>
        <v/>
      </c>
      <c r="D459" s="115"/>
      <c r="E459" s="113" t="str">
        <f t="shared" si="21"/>
        <v/>
      </c>
      <c r="F459" s="111" t="str">
        <f t="shared" si="22"/>
        <v/>
      </c>
    </row>
    <row r="460" spans="1:6" x14ac:dyDescent="0.25">
      <c r="A460" s="116" t="s">
        <v>1466</v>
      </c>
      <c r="B460" s="114"/>
      <c r="C460" s="111" t="str">
        <f t="shared" si="23"/>
        <v/>
      </c>
      <c r="D460" s="115"/>
      <c r="E460" s="113" t="str">
        <f t="shared" si="21"/>
        <v/>
      </c>
      <c r="F460" s="111" t="str">
        <f t="shared" si="22"/>
        <v/>
      </c>
    </row>
    <row r="461" spans="1:6" x14ac:dyDescent="0.25">
      <c r="A461" s="116" t="s">
        <v>1467</v>
      </c>
      <c r="B461" s="114"/>
      <c r="C461" s="111" t="str">
        <f t="shared" si="23"/>
        <v/>
      </c>
      <c r="D461" s="115"/>
      <c r="E461" s="113" t="str">
        <f t="shared" si="21"/>
        <v/>
      </c>
      <c r="F461" s="111" t="str">
        <f t="shared" si="22"/>
        <v/>
      </c>
    </row>
    <row r="462" spans="1:6" x14ac:dyDescent="0.25">
      <c r="A462" s="116" t="s">
        <v>1468</v>
      </c>
      <c r="B462" s="114"/>
      <c r="C462" s="111" t="str">
        <f t="shared" si="23"/>
        <v/>
      </c>
      <c r="D462" s="115"/>
      <c r="E462" s="113" t="str">
        <f t="shared" si="21"/>
        <v/>
      </c>
      <c r="F462" s="111" t="str">
        <f t="shared" si="22"/>
        <v/>
      </c>
    </row>
    <row r="463" spans="1:6" x14ac:dyDescent="0.25">
      <c r="A463" s="116" t="s">
        <v>1469</v>
      </c>
      <c r="B463" s="114"/>
      <c r="C463" s="111" t="str">
        <f t="shared" si="23"/>
        <v/>
      </c>
      <c r="D463" s="115"/>
      <c r="E463" s="113" t="str">
        <f t="shared" si="21"/>
        <v/>
      </c>
      <c r="F463" s="111" t="str">
        <f t="shared" si="22"/>
        <v/>
      </c>
    </row>
    <row r="464" spans="1:6" x14ac:dyDescent="0.25">
      <c r="A464" s="116" t="s">
        <v>1470</v>
      </c>
      <c r="B464" s="114"/>
      <c r="C464" s="111" t="str">
        <f t="shared" si="23"/>
        <v/>
      </c>
      <c r="D464" s="115"/>
      <c r="E464" s="113" t="str">
        <f t="shared" si="21"/>
        <v/>
      </c>
      <c r="F464" s="111" t="str">
        <f t="shared" si="22"/>
        <v/>
      </c>
    </row>
    <row r="465" spans="1:6" x14ac:dyDescent="0.25">
      <c r="A465" s="116" t="s">
        <v>1471</v>
      </c>
      <c r="B465" s="114"/>
      <c r="C465" s="111" t="str">
        <f t="shared" si="23"/>
        <v/>
      </c>
      <c r="D465" s="115"/>
      <c r="E465" s="113" t="str">
        <f t="shared" si="21"/>
        <v/>
      </c>
      <c r="F465" s="111" t="str">
        <f t="shared" si="22"/>
        <v/>
      </c>
    </row>
    <row r="466" spans="1:6" x14ac:dyDescent="0.25">
      <c r="A466" s="116" t="s">
        <v>1472</v>
      </c>
      <c r="B466" s="114"/>
      <c r="C466" s="111" t="str">
        <f t="shared" si="23"/>
        <v/>
      </c>
      <c r="D466" s="115"/>
      <c r="E466" s="113" t="str">
        <f t="shared" si="21"/>
        <v/>
      </c>
      <c r="F466" s="111" t="str">
        <f t="shared" si="22"/>
        <v/>
      </c>
    </row>
    <row r="467" spans="1:6" x14ac:dyDescent="0.25">
      <c r="A467" s="116" t="s">
        <v>1473</v>
      </c>
      <c r="B467" s="114"/>
      <c r="C467" s="111" t="str">
        <f t="shared" si="23"/>
        <v/>
      </c>
      <c r="D467" s="115"/>
      <c r="E467" s="113" t="str">
        <f t="shared" si="21"/>
        <v/>
      </c>
      <c r="F467" s="111" t="str">
        <f t="shared" si="22"/>
        <v/>
      </c>
    </row>
    <row r="468" spans="1:6" x14ac:dyDescent="0.25">
      <c r="A468" s="116" t="s">
        <v>1474</v>
      </c>
      <c r="B468" s="114"/>
      <c r="C468" s="111" t="str">
        <f t="shared" si="23"/>
        <v/>
      </c>
      <c r="D468" s="115"/>
      <c r="E468" s="113" t="str">
        <f t="shared" si="21"/>
        <v/>
      </c>
      <c r="F468" s="111" t="str">
        <f t="shared" si="22"/>
        <v/>
      </c>
    </row>
    <row r="469" spans="1:6" x14ac:dyDescent="0.25">
      <c r="A469" s="116" t="s">
        <v>1475</v>
      </c>
      <c r="B469" s="114"/>
      <c r="C469" s="111" t="str">
        <f t="shared" si="23"/>
        <v/>
      </c>
      <c r="D469" s="115"/>
      <c r="E469" s="113" t="str">
        <f t="shared" si="21"/>
        <v/>
      </c>
      <c r="F469" s="111" t="str">
        <f t="shared" si="22"/>
        <v/>
      </c>
    </row>
    <row r="470" spans="1:6" x14ac:dyDescent="0.25">
      <c r="A470" s="116" t="s">
        <v>1476</v>
      </c>
      <c r="B470" s="114"/>
      <c r="C470" s="111" t="str">
        <f t="shared" si="23"/>
        <v/>
      </c>
      <c r="D470" s="115"/>
      <c r="E470" s="113" t="str">
        <f t="shared" si="21"/>
        <v/>
      </c>
      <c r="F470" s="111" t="str">
        <f t="shared" si="22"/>
        <v/>
      </c>
    </row>
    <row r="471" spans="1:6" x14ac:dyDescent="0.25">
      <c r="A471" s="116" t="s">
        <v>1477</v>
      </c>
      <c r="B471" s="114"/>
      <c r="C471" s="111" t="str">
        <f t="shared" si="23"/>
        <v/>
      </c>
      <c r="D471" s="115"/>
      <c r="E471" s="113" t="str">
        <f t="shared" si="21"/>
        <v/>
      </c>
      <c r="F471" s="111" t="str">
        <f t="shared" si="22"/>
        <v/>
      </c>
    </row>
    <row r="472" spans="1:6" x14ac:dyDescent="0.25">
      <c r="A472" s="116" t="s">
        <v>1478</v>
      </c>
      <c r="B472" s="114"/>
      <c r="C472" s="111" t="str">
        <f t="shared" si="23"/>
        <v/>
      </c>
      <c r="D472" s="115"/>
      <c r="E472" s="113" t="str">
        <f t="shared" si="21"/>
        <v/>
      </c>
      <c r="F472" s="111" t="str">
        <f t="shared" si="22"/>
        <v/>
      </c>
    </row>
    <row r="473" spans="1:6" x14ac:dyDescent="0.25">
      <c r="A473" s="116" t="s">
        <v>1479</v>
      </c>
      <c r="B473" s="114"/>
      <c r="C473" s="111" t="str">
        <f t="shared" si="23"/>
        <v/>
      </c>
      <c r="D473" s="115"/>
      <c r="E473" s="113" t="str">
        <f t="shared" si="21"/>
        <v/>
      </c>
      <c r="F473" s="111" t="str">
        <f t="shared" si="22"/>
        <v/>
      </c>
    </row>
    <row r="474" spans="1:6" x14ac:dyDescent="0.25">
      <c r="A474" s="116" t="s">
        <v>1480</v>
      </c>
      <c r="B474" s="114"/>
      <c r="C474" s="111" t="str">
        <f t="shared" si="23"/>
        <v/>
      </c>
      <c r="D474" s="115"/>
      <c r="E474" s="113" t="str">
        <f t="shared" si="21"/>
        <v/>
      </c>
      <c r="F474" s="111" t="str">
        <f t="shared" si="22"/>
        <v/>
      </c>
    </row>
    <row r="475" spans="1:6" x14ac:dyDescent="0.25">
      <c r="A475" s="116" t="s">
        <v>1481</v>
      </c>
      <c r="B475" s="114"/>
      <c r="C475" s="111" t="str">
        <f t="shared" si="23"/>
        <v/>
      </c>
      <c r="D475" s="115"/>
      <c r="E475" s="113" t="str">
        <f t="shared" si="21"/>
        <v/>
      </c>
      <c r="F475" s="111" t="str">
        <f t="shared" si="22"/>
        <v/>
      </c>
    </row>
    <row r="476" spans="1:6" x14ac:dyDescent="0.25">
      <c r="A476" s="116" t="s">
        <v>1482</v>
      </c>
      <c r="B476" s="114"/>
      <c r="C476" s="111" t="str">
        <f t="shared" si="23"/>
        <v/>
      </c>
      <c r="D476" s="115"/>
      <c r="E476" s="113" t="str">
        <f t="shared" si="21"/>
        <v/>
      </c>
      <c r="F476" s="111" t="str">
        <f t="shared" si="22"/>
        <v/>
      </c>
    </row>
    <row r="477" spans="1:6" x14ac:dyDescent="0.25">
      <c r="A477" s="116" t="s">
        <v>1483</v>
      </c>
      <c r="B477" s="114"/>
      <c r="C477" s="111" t="str">
        <f t="shared" si="23"/>
        <v/>
      </c>
      <c r="D477" s="115"/>
      <c r="E477" s="113" t="str">
        <f t="shared" si="21"/>
        <v/>
      </c>
      <c r="F477" s="111" t="str">
        <f t="shared" si="22"/>
        <v/>
      </c>
    </row>
    <row r="478" spans="1:6" x14ac:dyDescent="0.25">
      <c r="A478" s="116" t="s">
        <v>1484</v>
      </c>
      <c r="B478" s="114"/>
      <c r="C478" s="111" t="str">
        <f t="shared" si="23"/>
        <v/>
      </c>
      <c r="D478" s="115"/>
      <c r="E478" s="113" t="str">
        <f t="shared" si="21"/>
        <v/>
      </c>
      <c r="F478" s="111" t="str">
        <f t="shared" si="22"/>
        <v/>
      </c>
    </row>
    <row r="479" spans="1:6" x14ac:dyDescent="0.25">
      <c r="A479" s="116" t="s">
        <v>1485</v>
      </c>
      <c r="B479" s="114"/>
      <c r="C479" s="111" t="str">
        <f t="shared" si="23"/>
        <v/>
      </c>
      <c r="D479" s="115"/>
      <c r="E479" s="113" t="str">
        <f t="shared" si="21"/>
        <v/>
      </c>
      <c r="F479" s="111" t="str">
        <f t="shared" si="22"/>
        <v/>
      </c>
    </row>
    <row r="480" spans="1:6" x14ac:dyDescent="0.25">
      <c r="A480" s="116" t="s">
        <v>1486</v>
      </c>
      <c r="B480" s="114"/>
      <c r="C480" s="111" t="str">
        <f t="shared" si="23"/>
        <v/>
      </c>
      <c r="D480" s="115"/>
      <c r="E480" s="113" t="str">
        <f t="shared" si="21"/>
        <v/>
      </c>
      <c r="F480" s="111" t="str">
        <f t="shared" si="22"/>
        <v/>
      </c>
    </row>
    <row r="481" spans="1:6" x14ac:dyDescent="0.25">
      <c r="A481" s="116" t="s">
        <v>1487</v>
      </c>
      <c r="B481" s="114"/>
      <c r="C481" s="111" t="str">
        <f t="shared" si="23"/>
        <v/>
      </c>
      <c r="D481" s="115"/>
      <c r="E481" s="113" t="str">
        <f t="shared" si="21"/>
        <v/>
      </c>
      <c r="F481" s="111" t="str">
        <f t="shared" si="22"/>
        <v/>
      </c>
    </row>
    <row r="482" spans="1:6" x14ac:dyDescent="0.25">
      <c r="A482" s="116" t="s">
        <v>1488</v>
      </c>
      <c r="B482" s="114"/>
      <c r="C482" s="111" t="str">
        <f t="shared" si="23"/>
        <v/>
      </c>
      <c r="D482" s="115"/>
      <c r="E482" s="113" t="str">
        <f t="shared" si="21"/>
        <v/>
      </c>
      <c r="F482" s="111" t="str">
        <f t="shared" si="22"/>
        <v/>
      </c>
    </row>
    <row r="483" spans="1:6" x14ac:dyDescent="0.25">
      <c r="A483" s="116" t="s">
        <v>1489</v>
      </c>
      <c r="B483" s="114"/>
      <c r="C483" s="111" t="str">
        <f t="shared" si="23"/>
        <v/>
      </c>
      <c r="D483" s="115"/>
      <c r="E483" s="113" t="str">
        <f t="shared" si="21"/>
        <v/>
      </c>
      <c r="F483" s="111" t="str">
        <f t="shared" si="22"/>
        <v/>
      </c>
    </row>
    <row r="484" spans="1:6" x14ac:dyDescent="0.25">
      <c r="A484" s="116" t="s">
        <v>1490</v>
      </c>
      <c r="B484" s="114"/>
      <c r="C484" s="111" t="str">
        <f t="shared" si="23"/>
        <v/>
      </c>
      <c r="D484" s="115"/>
      <c r="E484" s="113" t="str">
        <f t="shared" si="21"/>
        <v/>
      </c>
      <c r="F484" s="111" t="str">
        <f t="shared" si="22"/>
        <v/>
      </c>
    </row>
    <row r="485" spans="1:6" x14ac:dyDescent="0.25">
      <c r="A485" s="116" t="s">
        <v>1491</v>
      </c>
      <c r="B485" s="114"/>
      <c r="C485" s="111" t="str">
        <f t="shared" si="23"/>
        <v/>
      </c>
      <c r="D485" s="115"/>
      <c r="E485" s="113" t="str">
        <f t="shared" si="21"/>
        <v/>
      </c>
      <c r="F485" s="111" t="str">
        <f t="shared" si="22"/>
        <v/>
      </c>
    </row>
    <row r="486" spans="1:6" x14ac:dyDescent="0.25">
      <c r="A486" s="116" t="s">
        <v>1492</v>
      </c>
      <c r="B486" s="114"/>
      <c r="C486" s="111" t="str">
        <f t="shared" si="23"/>
        <v/>
      </c>
      <c r="D486" s="115"/>
      <c r="E486" s="113" t="str">
        <f t="shared" si="21"/>
        <v/>
      </c>
      <c r="F486" s="111" t="str">
        <f t="shared" si="22"/>
        <v/>
      </c>
    </row>
    <row r="487" spans="1:6" x14ac:dyDescent="0.25">
      <c r="A487" s="116" t="s">
        <v>1493</v>
      </c>
      <c r="B487" s="114"/>
      <c r="C487" s="111" t="str">
        <f t="shared" si="23"/>
        <v/>
      </c>
      <c r="D487" s="115"/>
      <c r="E487" s="113" t="str">
        <f t="shared" si="21"/>
        <v/>
      </c>
      <c r="F487" s="111" t="str">
        <f t="shared" si="22"/>
        <v/>
      </c>
    </row>
    <row r="488" spans="1:6" x14ac:dyDescent="0.25">
      <c r="A488" s="116" t="s">
        <v>1494</v>
      </c>
      <c r="B488" s="114"/>
      <c r="C488" s="111" t="str">
        <f t="shared" si="23"/>
        <v/>
      </c>
      <c r="D488" s="115"/>
      <c r="E488" s="113" t="str">
        <f t="shared" si="21"/>
        <v/>
      </c>
      <c r="F488" s="111" t="str">
        <f t="shared" si="22"/>
        <v/>
      </c>
    </row>
    <row r="489" spans="1:6" x14ac:dyDescent="0.25">
      <c r="A489" s="116" t="s">
        <v>1495</v>
      </c>
      <c r="B489" s="114"/>
      <c r="C489" s="111" t="str">
        <f t="shared" si="23"/>
        <v/>
      </c>
      <c r="D489" s="115"/>
      <c r="E489" s="113" t="str">
        <f t="shared" si="21"/>
        <v/>
      </c>
      <c r="F489" s="111" t="str">
        <f t="shared" si="22"/>
        <v/>
      </c>
    </row>
    <row r="490" spans="1:6" x14ac:dyDescent="0.25">
      <c r="A490" s="116" t="s">
        <v>1496</v>
      </c>
      <c r="B490" s="114"/>
      <c r="C490" s="111" t="str">
        <f t="shared" si="23"/>
        <v/>
      </c>
      <c r="D490" s="115"/>
      <c r="E490" s="113" t="str">
        <f t="shared" si="21"/>
        <v/>
      </c>
      <c r="F490" s="111" t="str">
        <f t="shared" si="22"/>
        <v/>
      </c>
    </row>
    <row r="491" spans="1:6" x14ac:dyDescent="0.25">
      <c r="A491" s="116" t="s">
        <v>1497</v>
      </c>
      <c r="B491" s="114"/>
      <c r="C491" s="111" t="str">
        <f t="shared" si="23"/>
        <v/>
      </c>
      <c r="D491" s="115"/>
      <c r="E491" s="113" t="str">
        <f t="shared" si="21"/>
        <v/>
      </c>
      <c r="F491" s="111" t="str">
        <f t="shared" si="22"/>
        <v/>
      </c>
    </row>
    <row r="492" spans="1:6" x14ac:dyDescent="0.25">
      <c r="A492" s="116" t="s">
        <v>1498</v>
      </c>
      <c r="B492" s="114"/>
      <c r="C492" s="111" t="str">
        <f t="shared" si="23"/>
        <v/>
      </c>
      <c r="D492" s="115"/>
      <c r="E492" s="113" t="str">
        <f t="shared" si="21"/>
        <v/>
      </c>
      <c r="F492" s="111" t="str">
        <f t="shared" si="22"/>
        <v/>
      </c>
    </row>
    <row r="493" spans="1:6" x14ac:dyDescent="0.25">
      <c r="A493" s="116" t="s">
        <v>1499</v>
      </c>
      <c r="B493" s="114"/>
      <c r="C493" s="111" t="str">
        <f t="shared" si="23"/>
        <v/>
      </c>
      <c r="D493" s="115"/>
      <c r="E493" s="113" t="str">
        <f t="shared" si="21"/>
        <v/>
      </c>
      <c r="F493" s="111" t="str">
        <f t="shared" si="22"/>
        <v/>
      </c>
    </row>
    <row r="494" spans="1:6" x14ac:dyDescent="0.25">
      <c r="A494" s="116" t="s">
        <v>1500</v>
      </c>
      <c r="B494" s="114"/>
      <c r="C494" s="111" t="str">
        <f t="shared" si="23"/>
        <v/>
      </c>
      <c r="D494" s="115"/>
      <c r="E494" s="113" t="str">
        <f t="shared" si="21"/>
        <v/>
      </c>
      <c r="F494" s="111" t="str">
        <f t="shared" si="22"/>
        <v/>
      </c>
    </row>
    <row r="495" spans="1:6" x14ac:dyDescent="0.25">
      <c r="A495" s="116" t="s">
        <v>1501</v>
      </c>
      <c r="B495" s="114"/>
      <c r="C495" s="111" t="str">
        <f t="shared" si="23"/>
        <v/>
      </c>
      <c r="D495" s="115"/>
      <c r="E495" s="113" t="str">
        <f t="shared" si="21"/>
        <v/>
      </c>
      <c r="F495" s="111" t="str">
        <f t="shared" si="22"/>
        <v/>
      </c>
    </row>
    <row r="496" spans="1:6" x14ac:dyDescent="0.25">
      <c r="A496" s="116" t="s">
        <v>1502</v>
      </c>
      <c r="B496" s="114"/>
      <c r="C496" s="111" t="str">
        <f t="shared" si="23"/>
        <v/>
      </c>
      <c r="D496" s="115"/>
      <c r="E496" s="113" t="str">
        <f t="shared" si="21"/>
        <v/>
      </c>
      <c r="F496" s="111" t="str">
        <f t="shared" si="22"/>
        <v/>
      </c>
    </row>
    <row r="497" spans="1:6" x14ac:dyDescent="0.25">
      <c r="A497" s="116" t="s">
        <v>1503</v>
      </c>
      <c r="B497" s="114"/>
      <c r="C497" s="111" t="str">
        <f t="shared" si="23"/>
        <v/>
      </c>
      <c r="D497" s="115"/>
      <c r="E497" s="113" t="str">
        <f t="shared" si="21"/>
        <v/>
      </c>
      <c r="F497" s="111" t="str">
        <f t="shared" si="22"/>
        <v/>
      </c>
    </row>
    <row r="498" spans="1:6" x14ac:dyDescent="0.25">
      <c r="A498" s="116" t="s">
        <v>1504</v>
      </c>
      <c r="B498" s="114"/>
      <c r="C498" s="111" t="str">
        <f t="shared" si="23"/>
        <v/>
      </c>
      <c r="D498" s="115"/>
      <c r="E498" s="113" t="str">
        <f t="shared" si="21"/>
        <v/>
      </c>
      <c r="F498" s="111" t="str">
        <f t="shared" si="22"/>
        <v/>
      </c>
    </row>
    <row r="499" spans="1:6" x14ac:dyDescent="0.25">
      <c r="A499" s="116" t="s">
        <v>1505</v>
      </c>
      <c r="B499" s="114"/>
      <c r="C499" s="111" t="str">
        <f t="shared" si="23"/>
        <v/>
      </c>
      <c r="D499" s="115"/>
      <c r="E499" s="113" t="str">
        <f t="shared" si="21"/>
        <v/>
      </c>
      <c r="F499" s="111" t="str">
        <f t="shared" si="22"/>
        <v/>
      </c>
    </row>
    <row r="500" spans="1:6" x14ac:dyDescent="0.25">
      <c r="A500" s="116" t="s">
        <v>1506</v>
      </c>
      <c r="B500" s="114"/>
      <c r="C500" s="111" t="str">
        <f t="shared" si="23"/>
        <v/>
      </c>
      <c r="D500" s="115"/>
      <c r="E500" s="113" t="str">
        <f t="shared" si="21"/>
        <v/>
      </c>
      <c r="F500" s="111" t="str">
        <f t="shared" si="22"/>
        <v/>
      </c>
    </row>
    <row r="501" spans="1:6" x14ac:dyDescent="0.25">
      <c r="A501" s="116" t="s">
        <v>1507</v>
      </c>
      <c r="B501" s="114"/>
      <c r="C501" s="111" t="str">
        <f t="shared" si="23"/>
        <v/>
      </c>
      <c r="D501" s="115"/>
      <c r="E501" s="113" t="str">
        <f t="shared" si="21"/>
        <v/>
      </c>
      <c r="F501" s="111" t="str">
        <f t="shared" si="22"/>
        <v/>
      </c>
    </row>
    <row r="502" spans="1:6" x14ac:dyDescent="0.25">
      <c r="A502" s="116" t="s">
        <v>1508</v>
      </c>
      <c r="B502" s="114"/>
      <c r="C502" s="111" t="str">
        <f t="shared" si="23"/>
        <v/>
      </c>
      <c r="D502" s="115"/>
      <c r="E502" s="113" t="str">
        <f t="shared" si="21"/>
        <v/>
      </c>
      <c r="F502" s="111" t="str">
        <f t="shared" si="22"/>
        <v/>
      </c>
    </row>
    <row r="503" spans="1:6" x14ac:dyDescent="0.25">
      <c r="A503" s="116" t="s">
        <v>1509</v>
      </c>
      <c r="B503" s="114"/>
      <c r="C503" s="111" t="str">
        <f t="shared" si="23"/>
        <v/>
      </c>
      <c r="D503" s="115"/>
      <c r="E503" s="113" t="str">
        <f t="shared" si="21"/>
        <v/>
      </c>
      <c r="F503" s="111" t="str">
        <f t="shared" si="22"/>
        <v/>
      </c>
    </row>
    <row r="504" spans="1:6" x14ac:dyDescent="0.25">
      <c r="A504" s="116" t="s">
        <v>1510</v>
      </c>
      <c r="B504" s="114"/>
      <c r="C504" s="111" t="str">
        <f t="shared" si="23"/>
        <v/>
      </c>
      <c r="D504" s="115"/>
      <c r="E504" s="113" t="str">
        <f t="shared" si="21"/>
        <v/>
      </c>
      <c r="F504" s="111" t="str">
        <f t="shared" si="22"/>
        <v/>
      </c>
    </row>
    <row r="505" spans="1:6" x14ac:dyDescent="0.25">
      <c r="A505" s="116" t="s">
        <v>1511</v>
      </c>
      <c r="B505" s="114"/>
      <c r="C505" s="111" t="str">
        <f t="shared" si="23"/>
        <v/>
      </c>
      <c r="D505" s="115"/>
      <c r="E505" s="113" t="str">
        <f t="shared" si="21"/>
        <v/>
      </c>
      <c r="F505" s="111" t="str">
        <f t="shared" si="22"/>
        <v/>
      </c>
    </row>
    <row r="506" spans="1:6" x14ac:dyDescent="0.25">
      <c r="A506" s="116" t="s">
        <v>1512</v>
      </c>
      <c r="B506" s="114"/>
      <c r="C506" s="111" t="str">
        <f t="shared" si="23"/>
        <v/>
      </c>
      <c r="D506" s="115"/>
      <c r="E506" s="113" t="str">
        <f t="shared" si="21"/>
        <v/>
      </c>
      <c r="F506" s="111" t="str">
        <f t="shared" si="22"/>
        <v/>
      </c>
    </row>
    <row r="507" spans="1:6" x14ac:dyDescent="0.25">
      <c r="A507" s="116" t="s">
        <v>1513</v>
      </c>
      <c r="B507" s="114"/>
      <c r="C507" s="111" t="str">
        <f t="shared" si="23"/>
        <v/>
      </c>
      <c r="D507" s="115"/>
      <c r="E507" s="113" t="str">
        <f t="shared" si="21"/>
        <v/>
      </c>
      <c r="F507" s="111" t="str">
        <f t="shared" si="22"/>
        <v/>
      </c>
    </row>
    <row r="508" spans="1:6" x14ac:dyDescent="0.25">
      <c r="A508" s="116" t="s">
        <v>1514</v>
      </c>
      <c r="B508" s="114"/>
      <c r="C508" s="111" t="str">
        <f t="shared" si="23"/>
        <v/>
      </c>
      <c r="D508" s="115"/>
      <c r="E508" s="113" t="str">
        <f t="shared" si="21"/>
        <v/>
      </c>
      <c r="F508" s="111" t="str">
        <f t="shared" si="22"/>
        <v/>
      </c>
    </row>
    <row r="509" spans="1:6" x14ac:dyDescent="0.25">
      <c r="A509" s="116" t="s">
        <v>1515</v>
      </c>
      <c r="B509" s="114"/>
      <c r="C509" s="111" t="str">
        <f t="shared" si="23"/>
        <v/>
      </c>
      <c r="D509" s="115"/>
      <c r="E509" s="113" t="str">
        <f t="shared" si="21"/>
        <v/>
      </c>
      <c r="F509" s="111" t="str">
        <f t="shared" si="22"/>
        <v/>
      </c>
    </row>
    <row r="510" spans="1:6" x14ac:dyDescent="0.25">
      <c r="A510" s="116" t="s">
        <v>1516</v>
      </c>
      <c r="B510" s="114"/>
      <c r="C510" s="111" t="str">
        <f t="shared" si="23"/>
        <v/>
      </c>
      <c r="D510" s="115"/>
      <c r="E510" s="113" t="str">
        <f t="shared" si="21"/>
        <v/>
      </c>
      <c r="F510" s="111" t="str">
        <f t="shared" si="22"/>
        <v/>
      </c>
    </row>
    <row r="511" spans="1:6" x14ac:dyDescent="0.25">
      <c r="A511" s="116" t="s">
        <v>1517</v>
      </c>
      <c r="B511" s="114"/>
      <c r="C511" s="111" t="str">
        <f t="shared" si="23"/>
        <v/>
      </c>
      <c r="D511" s="115"/>
      <c r="E511" s="113" t="str">
        <f t="shared" si="21"/>
        <v/>
      </c>
      <c r="F511" s="111" t="str">
        <f t="shared" si="22"/>
        <v/>
      </c>
    </row>
    <row r="512" spans="1:6" x14ac:dyDescent="0.25">
      <c r="A512" s="116" t="s">
        <v>1518</v>
      </c>
      <c r="B512" s="114"/>
      <c r="C512" s="111" t="str">
        <f t="shared" si="23"/>
        <v/>
      </c>
      <c r="D512" s="115"/>
      <c r="E512" s="113" t="str">
        <f t="shared" si="21"/>
        <v/>
      </c>
      <c r="F512" s="111" t="str">
        <f t="shared" si="22"/>
        <v/>
      </c>
    </row>
    <row r="513" spans="1:6" x14ac:dyDescent="0.25">
      <c r="A513" s="116" t="s">
        <v>1519</v>
      </c>
      <c r="B513" s="114"/>
      <c r="C513" s="111" t="str">
        <f t="shared" si="23"/>
        <v/>
      </c>
      <c r="D513" s="115"/>
      <c r="E513" s="113" t="str">
        <f t="shared" si="21"/>
        <v/>
      </c>
      <c r="F513" s="111" t="str">
        <f t="shared" si="22"/>
        <v/>
      </c>
    </row>
    <row r="514" spans="1:6" x14ac:dyDescent="0.25">
      <c r="A514" s="116" t="s">
        <v>1520</v>
      </c>
      <c r="B514" s="114"/>
      <c r="C514" s="111" t="str">
        <f t="shared" si="23"/>
        <v/>
      </c>
      <c r="D514" s="115"/>
      <c r="E514" s="113" t="str">
        <f t="shared" si="21"/>
        <v/>
      </c>
      <c r="F514" s="111" t="str">
        <f t="shared" si="22"/>
        <v/>
      </c>
    </row>
    <row r="515" spans="1:6" x14ac:dyDescent="0.25">
      <c r="A515" s="116" t="s">
        <v>1521</v>
      </c>
      <c r="B515" s="114"/>
      <c r="C515" s="111" t="str">
        <f t="shared" si="23"/>
        <v/>
      </c>
      <c r="D515" s="115"/>
      <c r="E515" s="113" t="str">
        <f t="shared" ref="E515:E578" si="24">IFERROR(MATCH(A515,$D$2:$D$1000,),"")</f>
        <v/>
      </c>
      <c r="F515" s="111" t="str">
        <f t="shared" ref="F515:F578" si="25">IF(E515&lt;&gt;"",INDEX($D$2:$D$1000,E515,1),"")</f>
        <v/>
      </c>
    </row>
    <row r="516" spans="1:6" x14ac:dyDescent="0.25">
      <c r="A516" s="116" t="s">
        <v>1522</v>
      </c>
      <c r="B516" s="114"/>
      <c r="C516" s="111" t="str">
        <f t="shared" si="23"/>
        <v/>
      </c>
      <c r="D516" s="115"/>
      <c r="E516" s="113" t="str">
        <f t="shared" si="24"/>
        <v/>
      </c>
      <c r="F516" s="111" t="str">
        <f t="shared" si="25"/>
        <v/>
      </c>
    </row>
    <row r="517" spans="1:6" x14ac:dyDescent="0.25">
      <c r="A517" s="116" t="s">
        <v>1523</v>
      </c>
      <c r="B517" s="114"/>
      <c r="C517" s="111" t="str">
        <f t="shared" si="23"/>
        <v/>
      </c>
      <c r="D517" s="115"/>
      <c r="E517" s="113" t="str">
        <f t="shared" si="24"/>
        <v/>
      </c>
      <c r="F517" s="111" t="str">
        <f t="shared" si="25"/>
        <v/>
      </c>
    </row>
    <row r="518" spans="1:6" x14ac:dyDescent="0.25">
      <c r="A518" s="116" t="s">
        <v>1524</v>
      </c>
      <c r="B518" s="114"/>
      <c r="C518" s="111" t="str">
        <f t="shared" si="23"/>
        <v/>
      </c>
      <c r="D518" s="115"/>
      <c r="E518" s="113" t="str">
        <f t="shared" si="24"/>
        <v/>
      </c>
      <c r="F518" s="111" t="str">
        <f t="shared" si="25"/>
        <v/>
      </c>
    </row>
    <row r="519" spans="1:6" x14ac:dyDescent="0.25">
      <c r="A519" s="116" t="s">
        <v>1525</v>
      </c>
      <c r="B519" s="114"/>
      <c r="C519" s="111" t="str">
        <f t="shared" si="23"/>
        <v/>
      </c>
      <c r="D519" s="115"/>
      <c r="E519" s="113" t="str">
        <f t="shared" si="24"/>
        <v/>
      </c>
      <c r="F519" s="111" t="str">
        <f t="shared" si="25"/>
        <v/>
      </c>
    </row>
    <row r="520" spans="1:6" x14ac:dyDescent="0.25">
      <c r="A520" s="116" t="s">
        <v>1526</v>
      </c>
      <c r="B520" s="114"/>
      <c r="C520" s="111" t="str">
        <f t="shared" si="23"/>
        <v/>
      </c>
      <c r="D520" s="115"/>
      <c r="E520" s="113" t="str">
        <f t="shared" si="24"/>
        <v/>
      </c>
      <c r="F520" s="111" t="str">
        <f t="shared" si="25"/>
        <v/>
      </c>
    </row>
    <row r="521" spans="1:6" x14ac:dyDescent="0.25">
      <c r="A521" s="116" t="s">
        <v>1527</v>
      </c>
      <c r="B521" s="114"/>
      <c r="C521" s="111" t="str">
        <f t="shared" si="23"/>
        <v/>
      </c>
      <c r="D521" s="115"/>
      <c r="E521" s="113" t="str">
        <f t="shared" si="24"/>
        <v/>
      </c>
      <c r="F521" s="111" t="str">
        <f t="shared" si="25"/>
        <v/>
      </c>
    </row>
    <row r="522" spans="1:6" x14ac:dyDescent="0.25">
      <c r="A522" s="116" t="s">
        <v>1528</v>
      </c>
      <c r="B522" s="114"/>
      <c r="C522" s="111" t="str">
        <f t="shared" ref="C522:C585" si="26">IF(ISNA(VLOOKUP(B522,$A$1:$A$1000,1,FALSE)),"","Yes")</f>
        <v/>
      </c>
      <c r="D522" s="115"/>
      <c r="E522" s="113" t="str">
        <f t="shared" si="24"/>
        <v/>
      </c>
      <c r="F522" s="111" t="str">
        <f t="shared" si="25"/>
        <v/>
      </c>
    </row>
    <row r="523" spans="1:6" x14ac:dyDescent="0.25">
      <c r="A523" s="116" t="s">
        <v>1529</v>
      </c>
      <c r="B523" s="114"/>
      <c r="C523" s="111" t="str">
        <f t="shared" si="26"/>
        <v/>
      </c>
      <c r="D523" s="115"/>
      <c r="E523" s="113" t="str">
        <f t="shared" si="24"/>
        <v/>
      </c>
      <c r="F523" s="111" t="str">
        <f t="shared" si="25"/>
        <v/>
      </c>
    </row>
    <row r="524" spans="1:6" x14ac:dyDescent="0.25">
      <c r="A524" s="116" t="s">
        <v>1530</v>
      </c>
      <c r="B524" s="114"/>
      <c r="C524" s="111" t="str">
        <f t="shared" si="26"/>
        <v/>
      </c>
      <c r="D524" s="115"/>
      <c r="E524" s="113" t="str">
        <f t="shared" si="24"/>
        <v/>
      </c>
      <c r="F524" s="111" t="str">
        <f t="shared" si="25"/>
        <v/>
      </c>
    </row>
    <row r="525" spans="1:6" x14ac:dyDescent="0.25">
      <c r="A525" s="116" t="s">
        <v>1531</v>
      </c>
      <c r="B525" s="114"/>
      <c r="C525" s="111" t="str">
        <f t="shared" si="26"/>
        <v/>
      </c>
      <c r="D525" s="115"/>
      <c r="E525" s="113" t="str">
        <f t="shared" si="24"/>
        <v/>
      </c>
      <c r="F525" s="111" t="str">
        <f t="shared" si="25"/>
        <v/>
      </c>
    </row>
    <row r="526" spans="1:6" x14ac:dyDescent="0.25">
      <c r="A526" s="116" t="s">
        <v>1532</v>
      </c>
      <c r="B526" s="114"/>
      <c r="C526" s="111" t="str">
        <f t="shared" si="26"/>
        <v/>
      </c>
      <c r="D526" s="115"/>
      <c r="E526" s="113" t="str">
        <f t="shared" si="24"/>
        <v/>
      </c>
      <c r="F526" s="111" t="str">
        <f t="shared" si="25"/>
        <v/>
      </c>
    </row>
    <row r="527" spans="1:6" x14ac:dyDescent="0.25">
      <c r="A527" s="116" t="s">
        <v>1533</v>
      </c>
      <c r="B527" s="114"/>
      <c r="C527" s="111" t="str">
        <f t="shared" si="26"/>
        <v/>
      </c>
      <c r="D527" s="115"/>
      <c r="E527" s="113" t="str">
        <f t="shared" si="24"/>
        <v/>
      </c>
      <c r="F527" s="111" t="str">
        <f t="shared" si="25"/>
        <v/>
      </c>
    </row>
    <row r="528" spans="1:6" x14ac:dyDescent="0.25">
      <c r="A528" s="116" t="s">
        <v>1534</v>
      </c>
      <c r="B528" s="114"/>
      <c r="C528" s="111" t="str">
        <f t="shared" si="26"/>
        <v/>
      </c>
      <c r="D528" s="115"/>
      <c r="E528" s="113" t="str">
        <f t="shared" si="24"/>
        <v/>
      </c>
      <c r="F528" s="111" t="str">
        <f t="shared" si="25"/>
        <v/>
      </c>
    </row>
    <row r="529" spans="1:6" x14ac:dyDescent="0.25">
      <c r="A529" s="116" t="s">
        <v>1535</v>
      </c>
      <c r="B529" s="114"/>
      <c r="C529" s="111" t="str">
        <f t="shared" si="26"/>
        <v/>
      </c>
      <c r="D529" s="115"/>
      <c r="E529" s="113" t="str">
        <f t="shared" si="24"/>
        <v/>
      </c>
      <c r="F529" s="111" t="str">
        <f t="shared" si="25"/>
        <v/>
      </c>
    </row>
    <row r="530" spans="1:6" x14ac:dyDescent="0.25">
      <c r="A530" s="116" t="s">
        <v>1536</v>
      </c>
      <c r="B530" s="114"/>
      <c r="C530" s="111" t="str">
        <f t="shared" si="26"/>
        <v/>
      </c>
      <c r="D530" s="115"/>
      <c r="E530" s="113" t="str">
        <f t="shared" si="24"/>
        <v/>
      </c>
      <c r="F530" s="111" t="str">
        <f t="shared" si="25"/>
        <v/>
      </c>
    </row>
    <row r="531" spans="1:6" x14ac:dyDescent="0.25">
      <c r="A531" s="116" t="s">
        <v>1537</v>
      </c>
      <c r="B531" s="114"/>
      <c r="C531" s="111" t="str">
        <f t="shared" si="26"/>
        <v/>
      </c>
      <c r="D531" s="115"/>
      <c r="E531" s="113" t="str">
        <f t="shared" si="24"/>
        <v/>
      </c>
      <c r="F531" s="111" t="str">
        <f t="shared" si="25"/>
        <v/>
      </c>
    </row>
    <row r="532" spans="1:6" x14ac:dyDescent="0.25">
      <c r="A532" s="116" t="s">
        <v>1538</v>
      </c>
      <c r="B532" s="114"/>
      <c r="C532" s="111" t="str">
        <f t="shared" si="26"/>
        <v/>
      </c>
      <c r="D532" s="115"/>
      <c r="E532" s="113" t="str">
        <f t="shared" si="24"/>
        <v/>
      </c>
      <c r="F532" s="111" t="str">
        <f t="shared" si="25"/>
        <v/>
      </c>
    </row>
    <row r="533" spans="1:6" x14ac:dyDescent="0.25">
      <c r="A533" s="116" t="s">
        <v>1539</v>
      </c>
      <c r="B533" s="114"/>
      <c r="C533" s="111" t="str">
        <f t="shared" si="26"/>
        <v/>
      </c>
      <c r="D533" s="115"/>
      <c r="E533" s="113" t="str">
        <f t="shared" si="24"/>
        <v/>
      </c>
      <c r="F533" s="111" t="str">
        <f t="shared" si="25"/>
        <v/>
      </c>
    </row>
    <row r="534" spans="1:6" x14ac:dyDescent="0.25">
      <c r="A534" s="116" t="s">
        <v>1540</v>
      </c>
      <c r="B534" s="114"/>
      <c r="C534" s="111" t="str">
        <f t="shared" si="26"/>
        <v/>
      </c>
      <c r="D534" s="115"/>
      <c r="E534" s="113" t="str">
        <f t="shared" si="24"/>
        <v/>
      </c>
      <c r="F534" s="111" t="str">
        <f t="shared" si="25"/>
        <v/>
      </c>
    </row>
    <row r="535" spans="1:6" x14ac:dyDescent="0.25">
      <c r="A535" s="116" t="s">
        <v>1541</v>
      </c>
      <c r="B535" s="114"/>
      <c r="C535" s="111" t="str">
        <f t="shared" si="26"/>
        <v/>
      </c>
      <c r="D535" s="115"/>
      <c r="E535" s="113" t="str">
        <f t="shared" si="24"/>
        <v/>
      </c>
      <c r="F535" s="111" t="str">
        <f t="shared" si="25"/>
        <v/>
      </c>
    </row>
    <row r="536" spans="1:6" x14ac:dyDescent="0.25">
      <c r="A536" s="116" t="s">
        <v>1542</v>
      </c>
      <c r="B536" s="114"/>
      <c r="C536" s="111" t="str">
        <f t="shared" si="26"/>
        <v/>
      </c>
      <c r="D536" s="115"/>
      <c r="E536" s="113" t="str">
        <f t="shared" si="24"/>
        <v/>
      </c>
      <c r="F536" s="111" t="str">
        <f t="shared" si="25"/>
        <v/>
      </c>
    </row>
    <row r="537" spans="1:6" x14ac:dyDescent="0.25">
      <c r="A537" s="116" t="s">
        <v>1543</v>
      </c>
      <c r="B537" s="114"/>
      <c r="C537" s="111" t="str">
        <f t="shared" si="26"/>
        <v/>
      </c>
      <c r="D537" s="115"/>
      <c r="E537" s="113" t="str">
        <f t="shared" si="24"/>
        <v/>
      </c>
      <c r="F537" s="111" t="str">
        <f t="shared" si="25"/>
        <v/>
      </c>
    </row>
    <row r="538" spans="1:6" x14ac:dyDescent="0.25">
      <c r="A538" s="116" t="s">
        <v>1544</v>
      </c>
      <c r="B538" s="114"/>
      <c r="C538" s="111" t="str">
        <f t="shared" si="26"/>
        <v/>
      </c>
      <c r="D538" s="115"/>
      <c r="E538" s="113" t="str">
        <f t="shared" si="24"/>
        <v/>
      </c>
      <c r="F538" s="111" t="str">
        <f t="shared" si="25"/>
        <v/>
      </c>
    </row>
    <row r="539" spans="1:6" x14ac:dyDescent="0.25">
      <c r="A539" s="116" t="s">
        <v>1545</v>
      </c>
      <c r="B539" s="114"/>
      <c r="C539" s="111" t="str">
        <f t="shared" si="26"/>
        <v/>
      </c>
      <c r="D539" s="115"/>
      <c r="E539" s="113" t="str">
        <f t="shared" si="24"/>
        <v/>
      </c>
      <c r="F539" s="111" t="str">
        <f t="shared" si="25"/>
        <v/>
      </c>
    </row>
    <row r="540" spans="1:6" x14ac:dyDescent="0.25">
      <c r="A540" s="116" t="s">
        <v>1546</v>
      </c>
      <c r="B540" s="114"/>
      <c r="C540" s="111" t="str">
        <f t="shared" si="26"/>
        <v/>
      </c>
      <c r="D540" s="115"/>
      <c r="E540" s="113" t="str">
        <f t="shared" si="24"/>
        <v/>
      </c>
      <c r="F540" s="111" t="str">
        <f t="shared" si="25"/>
        <v/>
      </c>
    </row>
    <row r="541" spans="1:6" x14ac:dyDescent="0.25">
      <c r="A541" s="116" t="s">
        <v>1547</v>
      </c>
      <c r="B541" s="114"/>
      <c r="C541" s="111" t="str">
        <f t="shared" si="26"/>
        <v/>
      </c>
      <c r="D541" s="115"/>
      <c r="E541" s="113" t="str">
        <f t="shared" si="24"/>
        <v/>
      </c>
      <c r="F541" s="111" t="str">
        <f t="shared" si="25"/>
        <v/>
      </c>
    </row>
    <row r="542" spans="1:6" x14ac:dyDescent="0.25">
      <c r="A542" s="116" t="s">
        <v>1548</v>
      </c>
      <c r="B542" s="114"/>
      <c r="C542" s="111" t="str">
        <f t="shared" si="26"/>
        <v/>
      </c>
      <c r="D542" s="115"/>
      <c r="E542" s="113" t="str">
        <f t="shared" si="24"/>
        <v/>
      </c>
      <c r="F542" s="111" t="str">
        <f t="shared" si="25"/>
        <v/>
      </c>
    </row>
    <row r="543" spans="1:6" x14ac:dyDescent="0.25">
      <c r="A543" s="116" t="s">
        <v>1549</v>
      </c>
      <c r="B543" s="114"/>
      <c r="C543" s="111" t="str">
        <f t="shared" si="26"/>
        <v/>
      </c>
      <c r="D543" s="115"/>
      <c r="E543" s="113" t="str">
        <f t="shared" si="24"/>
        <v/>
      </c>
      <c r="F543" s="111" t="str">
        <f t="shared" si="25"/>
        <v/>
      </c>
    </row>
    <row r="544" spans="1:6" x14ac:dyDescent="0.25">
      <c r="A544" s="116" t="s">
        <v>1550</v>
      </c>
      <c r="B544" s="114"/>
      <c r="C544" s="111" t="str">
        <f t="shared" si="26"/>
        <v/>
      </c>
      <c r="D544" s="115"/>
      <c r="E544" s="113" t="str">
        <f t="shared" si="24"/>
        <v/>
      </c>
      <c r="F544" s="111" t="str">
        <f t="shared" si="25"/>
        <v/>
      </c>
    </row>
    <row r="545" spans="1:6" x14ac:dyDescent="0.25">
      <c r="A545" s="116" t="s">
        <v>1551</v>
      </c>
      <c r="B545" s="114"/>
      <c r="C545" s="111" t="str">
        <f t="shared" si="26"/>
        <v/>
      </c>
      <c r="D545" s="115"/>
      <c r="E545" s="113" t="str">
        <f t="shared" si="24"/>
        <v/>
      </c>
      <c r="F545" s="111" t="str">
        <f t="shared" si="25"/>
        <v/>
      </c>
    </row>
    <row r="546" spans="1:6" x14ac:dyDescent="0.25">
      <c r="A546" s="116" t="s">
        <v>1552</v>
      </c>
      <c r="B546" s="114"/>
      <c r="C546" s="111" t="str">
        <f t="shared" si="26"/>
        <v/>
      </c>
      <c r="D546" s="115"/>
      <c r="E546" s="113" t="str">
        <f t="shared" si="24"/>
        <v/>
      </c>
      <c r="F546" s="111" t="str">
        <f t="shared" si="25"/>
        <v/>
      </c>
    </row>
    <row r="547" spans="1:6" x14ac:dyDescent="0.25">
      <c r="A547" s="116" t="s">
        <v>1553</v>
      </c>
      <c r="B547" s="114"/>
      <c r="C547" s="111" t="str">
        <f t="shared" si="26"/>
        <v/>
      </c>
      <c r="D547" s="115"/>
      <c r="E547" s="113" t="str">
        <f t="shared" si="24"/>
        <v/>
      </c>
      <c r="F547" s="111" t="str">
        <f t="shared" si="25"/>
        <v/>
      </c>
    </row>
    <row r="548" spans="1:6" x14ac:dyDescent="0.25">
      <c r="A548" s="116" t="s">
        <v>1554</v>
      </c>
      <c r="B548" s="114"/>
      <c r="C548" s="111" t="str">
        <f t="shared" si="26"/>
        <v/>
      </c>
      <c r="D548" s="115"/>
      <c r="E548" s="113" t="str">
        <f t="shared" si="24"/>
        <v/>
      </c>
      <c r="F548" s="111" t="str">
        <f t="shared" si="25"/>
        <v/>
      </c>
    </row>
    <row r="549" spans="1:6" x14ac:dyDescent="0.25">
      <c r="A549" s="116" t="s">
        <v>1555</v>
      </c>
      <c r="B549" s="114"/>
      <c r="C549" s="111" t="str">
        <f t="shared" si="26"/>
        <v/>
      </c>
      <c r="D549" s="115"/>
      <c r="E549" s="113" t="str">
        <f t="shared" si="24"/>
        <v/>
      </c>
      <c r="F549" s="111" t="str">
        <f t="shared" si="25"/>
        <v/>
      </c>
    </row>
    <row r="550" spans="1:6" x14ac:dyDescent="0.25">
      <c r="A550" s="116" t="s">
        <v>1556</v>
      </c>
      <c r="B550" s="114"/>
      <c r="C550" s="111" t="str">
        <f t="shared" si="26"/>
        <v/>
      </c>
      <c r="D550" s="115"/>
      <c r="E550" s="113" t="str">
        <f t="shared" si="24"/>
        <v/>
      </c>
      <c r="F550" s="111" t="str">
        <f t="shared" si="25"/>
        <v/>
      </c>
    </row>
    <row r="551" spans="1:6" x14ac:dyDescent="0.25">
      <c r="A551" s="116" t="s">
        <v>1557</v>
      </c>
      <c r="B551" s="114"/>
      <c r="C551" s="111" t="str">
        <f t="shared" si="26"/>
        <v/>
      </c>
      <c r="D551" s="115"/>
      <c r="E551" s="113" t="str">
        <f t="shared" si="24"/>
        <v/>
      </c>
      <c r="F551" s="111" t="str">
        <f t="shared" si="25"/>
        <v/>
      </c>
    </row>
    <row r="552" spans="1:6" x14ac:dyDescent="0.25">
      <c r="A552" s="116" t="s">
        <v>1558</v>
      </c>
      <c r="B552" s="114"/>
      <c r="C552" s="111" t="str">
        <f t="shared" si="26"/>
        <v/>
      </c>
      <c r="D552" s="115"/>
      <c r="E552" s="113" t="str">
        <f t="shared" si="24"/>
        <v/>
      </c>
      <c r="F552" s="111" t="str">
        <f t="shared" si="25"/>
        <v/>
      </c>
    </row>
    <row r="553" spans="1:6" x14ac:dyDescent="0.25">
      <c r="A553" s="116" t="s">
        <v>1559</v>
      </c>
      <c r="B553" s="114"/>
      <c r="C553" s="111" t="str">
        <f t="shared" si="26"/>
        <v/>
      </c>
      <c r="D553" s="115"/>
      <c r="E553" s="113" t="str">
        <f t="shared" si="24"/>
        <v/>
      </c>
      <c r="F553" s="111" t="str">
        <f t="shared" si="25"/>
        <v/>
      </c>
    </row>
    <row r="554" spans="1:6" x14ac:dyDescent="0.25">
      <c r="A554" s="116" t="s">
        <v>1560</v>
      </c>
      <c r="B554" s="114"/>
      <c r="C554" s="111" t="str">
        <f t="shared" si="26"/>
        <v/>
      </c>
      <c r="D554" s="115"/>
      <c r="E554" s="113" t="str">
        <f t="shared" si="24"/>
        <v/>
      </c>
      <c r="F554" s="111" t="str">
        <f t="shared" si="25"/>
        <v/>
      </c>
    </row>
    <row r="555" spans="1:6" x14ac:dyDescent="0.25">
      <c r="A555" s="116" t="s">
        <v>1561</v>
      </c>
      <c r="B555" s="114"/>
      <c r="C555" s="111" t="str">
        <f t="shared" si="26"/>
        <v/>
      </c>
      <c r="D555" s="115"/>
      <c r="E555" s="113" t="str">
        <f t="shared" si="24"/>
        <v/>
      </c>
      <c r="F555" s="111" t="str">
        <f t="shared" si="25"/>
        <v/>
      </c>
    </row>
    <row r="556" spans="1:6" x14ac:dyDescent="0.25">
      <c r="A556" s="116" t="s">
        <v>1562</v>
      </c>
      <c r="B556" s="114"/>
      <c r="C556" s="111" t="str">
        <f t="shared" si="26"/>
        <v/>
      </c>
      <c r="D556" s="115"/>
      <c r="E556" s="113" t="str">
        <f t="shared" si="24"/>
        <v/>
      </c>
      <c r="F556" s="111" t="str">
        <f t="shared" si="25"/>
        <v/>
      </c>
    </row>
    <row r="557" spans="1:6" x14ac:dyDescent="0.25">
      <c r="A557" s="116" t="s">
        <v>1563</v>
      </c>
      <c r="B557" s="114"/>
      <c r="C557" s="111" t="str">
        <f t="shared" si="26"/>
        <v/>
      </c>
      <c r="D557" s="115"/>
      <c r="E557" s="113" t="str">
        <f t="shared" si="24"/>
        <v/>
      </c>
      <c r="F557" s="111" t="str">
        <f t="shared" si="25"/>
        <v/>
      </c>
    </row>
    <row r="558" spans="1:6" x14ac:dyDescent="0.25">
      <c r="A558" s="116" t="s">
        <v>1564</v>
      </c>
      <c r="B558" s="114"/>
      <c r="C558" s="111" t="str">
        <f t="shared" si="26"/>
        <v/>
      </c>
      <c r="D558" s="115"/>
      <c r="E558" s="113" t="str">
        <f t="shared" si="24"/>
        <v/>
      </c>
      <c r="F558" s="111" t="str">
        <f t="shared" si="25"/>
        <v/>
      </c>
    </row>
    <row r="559" spans="1:6" x14ac:dyDescent="0.25">
      <c r="A559" s="116" t="s">
        <v>1565</v>
      </c>
      <c r="B559" s="114"/>
      <c r="C559" s="111" t="str">
        <f t="shared" si="26"/>
        <v/>
      </c>
      <c r="D559" s="115"/>
      <c r="E559" s="113" t="str">
        <f t="shared" si="24"/>
        <v/>
      </c>
      <c r="F559" s="111" t="str">
        <f t="shared" si="25"/>
        <v/>
      </c>
    </row>
    <row r="560" spans="1:6" x14ac:dyDescent="0.25">
      <c r="A560" s="116" t="s">
        <v>1566</v>
      </c>
      <c r="B560" s="114"/>
      <c r="C560" s="111" t="str">
        <f t="shared" si="26"/>
        <v/>
      </c>
      <c r="D560" s="115"/>
      <c r="E560" s="113" t="str">
        <f t="shared" si="24"/>
        <v/>
      </c>
      <c r="F560" s="111" t="str">
        <f t="shared" si="25"/>
        <v/>
      </c>
    </row>
    <row r="561" spans="1:6" x14ac:dyDescent="0.25">
      <c r="A561" s="116" t="s">
        <v>1567</v>
      </c>
      <c r="B561" s="114"/>
      <c r="C561" s="111" t="str">
        <f t="shared" si="26"/>
        <v/>
      </c>
      <c r="D561" s="115"/>
      <c r="E561" s="113" t="str">
        <f t="shared" si="24"/>
        <v/>
      </c>
      <c r="F561" s="111" t="str">
        <f t="shared" si="25"/>
        <v/>
      </c>
    </row>
    <row r="562" spans="1:6" x14ac:dyDescent="0.25">
      <c r="A562" s="116" t="s">
        <v>1568</v>
      </c>
      <c r="B562" s="114"/>
      <c r="C562" s="111" t="str">
        <f t="shared" si="26"/>
        <v/>
      </c>
      <c r="D562" s="115"/>
      <c r="E562" s="113" t="str">
        <f t="shared" si="24"/>
        <v/>
      </c>
      <c r="F562" s="111" t="str">
        <f t="shared" si="25"/>
        <v/>
      </c>
    </row>
    <row r="563" spans="1:6" x14ac:dyDescent="0.25">
      <c r="A563" s="116" t="s">
        <v>1569</v>
      </c>
      <c r="B563" s="114"/>
      <c r="C563" s="111" t="str">
        <f t="shared" si="26"/>
        <v/>
      </c>
      <c r="D563" s="115"/>
      <c r="E563" s="113" t="str">
        <f t="shared" si="24"/>
        <v/>
      </c>
      <c r="F563" s="111" t="str">
        <f t="shared" si="25"/>
        <v/>
      </c>
    </row>
    <row r="564" spans="1:6" x14ac:dyDescent="0.25">
      <c r="A564" s="116" t="s">
        <v>1570</v>
      </c>
      <c r="B564" s="114"/>
      <c r="C564" s="111" t="str">
        <f t="shared" si="26"/>
        <v/>
      </c>
      <c r="D564" s="115"/>
      <c r="E564" s="113" t="str">
        <f t="shared" si="24"/>
        <v/>
      </c>
      <c r="F564" s="111" t="str">
        <f t="shared" si="25"/>
        <v/>
      </c>
    </row>
    <row r="565" spans="1:6" x14ac:dyDescent="0.25">
      <c r="A565" s="116" t="s">
        <v>1571</v>
      </c>
      <c r="B565" s="114"/>
      <c r="C565" s="111" t="str">
        <f t="shared" si="26"/>
        <v/>
      </c>
      <c r="D565" s="115"/>
      <c r="E565" s="113" t="str">
        <f t="shared" si="24"/>
        <v/>
      </c>
      <c r="F565" s="111" t="str">
        <f t="shared" si="25"/>
        <v/>
      </c>
    </row>
    <row r="566" spans="1:6" x14ac:dyDescent="0.25">
      <c r="A566" s="116" t="s">
        <v>1572</v>
      </c>
      <c r="B566" s="114"/>
      <c r="C566" s="111" t="str">
        <f t="shared" si="26"/>
        <v/>
      </c>
      <c r="D566" s="115"/>
      <c r="E566" s="113" t="str">
        <f t="shared" si="24"/>
        <v/>
      </c>
      <c r="F566" s="111" t="str">
        <f t="shared" si="25"/>
        <v/>
      </c>
    </row>
    <row r="567" spans="1:6" x14ac:dyDescent="0.25">
      <c r="A567" s="116" t="s">
        <v>1573</v>
      </c>
      <c r="B567" s="114"/>
      <c r="C567" s="111" t="str">
        <f t="shared" si="26"/>
        <v/>
      </c>
      <c r="D567" s="115"/>
      <c r="E567" s="113" t="str">
        <f t="shared" si="24"/>
        <v/>
      </c>
      <c r="F567" s="111" t="str">
        <f t="shared" si="25"/>
        <v/>
      </c>
    </row>
    <row r="568" spans="1:6" x14ac:dyDescent="0.25">
      <c r="A568" s="116" t="s">
        <v>1574</v>
      </c>
      <c r="B568" s="114"/>
      <c r="C568" s="111" t="str">
        <f t="shared" si="26"/>
        <v/>
      </c>
      <c r="D568" s="115"/>
      <c r="E568" s="113" t="str">
        <f t="shared" si="24"/>
        <v/>
      </c>
      <c r="F568" s="111" t="str">
        <f t="shared" si="25"/>
        <v/>
      </c>
    </row>
    <row r="569" spans="1:6" x14ac:dyDescent="0.25">
      <c r="A569" s="116" t="s">
        <v>1575</v>
      </c>
      <c r="B569" s="114"/>
      <c r="C569" s="111" t="str">
        <f t="shared" si="26"/>
        <v/>
      </c>
      <c r="D569" s="115"/>
      <c r="E569" s="113" t="str">
        <f t="shared" si="24"/>
        <v/>
      </c>
      <c r="F569" s="111" t="str">
        <f t="shared" si="25"/>
        <v/>
      </c>
    </row>
    <row r="570" spans="1:6" x14ac:dyDescent="0.25">
      <c r="A570" s="116" t="s">
        <v>1576</v>
      </c>
      <c r="B570" s="114"/>
      <c r="C570" s="111" t="str">
        <f t="shared" si="26"/>
        <v/>
      </c>
      <c r="D570" s="115"/>
      <c r="E570" s="113" t="str">
        <f t="shared" si="24"/>
        <v/>
      </c>
      <c r="F570" s="111" t="str">
        <f t="shared" si="25"/>
        <v/>
      </c>
    </row>
    <row r="571" spans="1:6" x14ac:dyDescent="0.25">
      <c r="A571" s="116" t="s">
        <v>1577</v>
      </c>
      <c r="B571" s="114"/>
      <c r="C571" s="111" t="str">
        <f t="shared" si="26"/>
        <v/>
      </c>
      <c r="D571" s="115"/>
      <c r="E571" s="113" t="str">
        <f t="shared" si="24"/>
        <v/>
      </c>
      <c r="F571" s="111" t="str">
        <f t="shared" si="25"/>
        <v/>
      </c>
    </row>
    <row r="572" spans="1:6" x14ac:dyDescent="0.25">
      <c r="A572" s="116" t="s">
        <v>1578</v>
      </c>
      <c r="B572" s="114"/>
      <c r="C572" s="111" t="str">
        <f t="shared" si="26"/>
        <v/>
      </c>
      <c r="D572" s="115"/>
      <c r="E572" s="113" t="str">
        <f t="shared" si="24"/>
        <v/>
      </c>
      <c r="F572" s="111" t="str">
        <f t="shared" si="25"/>
        <v/>
      </c>
    </row>
    <row r="573" spans="1:6" x14ac:dyDescent="0.25">
      <c r="A573" s="116" t="s">
        <v>1579</v>
      </c>
      <c r="B573" s="114"/>
      <c r="C573" s="111" t="str">
        <f t="shared" si="26"/>
        <v/>
      </c>
      <c r="D573" s="115"/>
      <c r="E573" s="113" t="str">
        <f t="shared" si="24"/>
        <v/>
      </c>
      <c r="F573" s="111" t="str">
        <f t="shared" si="25"/>
        <v/>
      </c>
    </row>
    <row r="574" spans="1:6" x14ac:dyDescent="0.25">
      <c r="A574" s="116" t="s">
        <v>1580</v>
      </c>
      <c r="B574" s="114"/>
      <c r="C574" s="111" t="str">
        <f t="shared" si="26"/>
        <v/>
      </c>
      <c r="D574" s="115"/>
      <c r="E574" s="113" t="str">
        <f t="shared" si="24"/>
        <v/>
      </c>
      <c r="F574" s="111" t="str">
        <f t="shared" si="25"/>
        <v/>
      </c>
    </row>
    <row r="575" spans="1:6" x14ac:dyDescent="0.25">
      <c r="A575" s="116" t="s">
        <v>1581</v>
      </c>
      <c r="B575" s="114"/>
      <c r="C575" s="111" t="str">
        <f t="shared" si="26"/>
        <v/>
      </c>
      <c r="D575" s="115"/>
      <c r="E575" s="113" t="str">
        <f t="shared" si="24"/>
        <v/>
      </c>
      <c r="F575" s="111" t="str">
        <f t="shared" si="25"/>
        <v/>
      </c>
    </row>
    <row r="576" spans="1:6" x14ac:dyDescent="0.25">
      <c r="A576" s="116" t="s">
        <v>1582</v>
      </c>
      <c r="B576" s="114"/>
      <c r="C576" s="111" t="str">
        <f t="shared" si="26"/>
        <v/>
      </c>
      <c r="D576" s="115"/>
      <c r="E576" s="113" t="str">
        <f t="shared" si="24"/>
        <v/>
      </c>
      <c r="F576" s="111" t="str">
        <f t="shared" si="25"/>
        <v/>
      </c>
    </row>
    <row r="577" spans="1:6" x14ac:dyDescent="0.25">
      <c r="A577" s="116" t="s">
        <v>1583</v>
      </c>
      <c r="B577" s="114"/>
      <c r="C577" s="111" t="str">
        <f t="shared" si="26"/>
        <v/>
      </c>
      <c r="D577" s="115"/>
      <c r="E577" s="113" t="str">
        <f t="shared" si="24"/>
        <v/>
      </c>
      <c r="F577" s="111" t="str">
        <f t="shared" si="25"/>
        <v/>
      </c>
    </row>
    <row r="578" spans="1:6" x14ac:dyDescent="0.25">
      <c r="A578" s="116" t="s">
        <v>1584</v>
      </c>
      <c r="B578" s="114"/>
      <c r="C578" s="111" t="str">
        <f t="shared" si="26"/>
        <v/>
      </c>
      <c r="D578" s="115"/>
      <c r="E578" s="113" t="str">
        <f t="shared" si="24"/>
        <v/>
      </c>
      <c r="F578" s="111" t="str">
        <f t="shared" si="25"/>
        <v/>
      </c>
    </row>
    <row r="579" spans="1:6" x14ac:dyDescent="0.25">
      <c r="A579" s="116" t="s">
        <v>1585</v>
      </c>
      <c r="B579" s="114"/>
      <c r="C579" s="111" t="str">
        <f t="shared" si="26"/>
        <v/>
      </c>
      <c r="D579" s="115"/>
      <c r="E579" s="113" t="str">
        <f t="shared" ref="E579:E642" si="27">IFERROR(MATCH(A579,$D$2:$D$1000,),"")</f>
        <v/>
      </c>
      <c r="F579" s="111" t="str">
        <f t="shared" ref="F579:F642" si="28">IF(E579&lt;&gt;"",INDEX($D$2:$D$1000,E579,1),"")</f>
        <v/>
      </c>
    </row>
    <row r="580" spans="1:6" x14ac:dyDescent="0.25">
      <c r="A580" s="116" t="s">
        <v>1586</v>
      </c>
      <c r="B580" s="114"/>
      <c r="C580" s="111" t="str">
        <f t="shared" si="26"/>
        <v/>
      </c>
      <c r="D580" s="115"/>
      <c r="E580" s="113" t="str">
        <f t="shared" si="27"/>
        <v/>
      </c>
      <c r="F580" s="111" t="str">
        <f t="shared" si="28"/>
        <v/>
      </c>
    </row>
    <row r="581" spans="1:6" x14ac:dyDescent="0.25">
      <c r="A581" s="116" t="s">
        <v>1587</v>
      </c>
      <c r="B581" s="114"/>
      <c r="C581" s="111" t="str">
        <f t="shared" si="26"/>
        <v/>
      </c>
      <c r="D581" s="115"/>
      <c r="E581" s="113" t="str">
        <f t="shared" si="27"/>
        <v/>
      </c>
      <c r="F581" s="111" t="str">
        <f t="shared" si="28"/>
        <v/>
      </c>
    </row>
    <row r="582" spans="1:6" x14ac:dyDescent="0.25">
      <c r="A582" s="116" t="s">
        <v>1588</v>
      </c>
      <c r="B582" s="114"/>
      <c r="C582" s="111" t="str">
        <f t="shared" si="26"/>
        <v/>
      </c>
      <c r="D582" s="115"/>
      <c r="E582" s="113" t="str">
        <f t="shared" si="27"/>
        <v/>
      </c>
      <c r="F582" s="111" t="str">
        <f t="shared" si="28"/>
        <v/>
      </c>
    </row>
    <row r="583" spans="1:6" x14ac:dyDescent="0.25">
      <c r="A583" s="116" t="s">
        <v>1589</v>
      </c>
      <c r="B583" s="114"/>
      <c r="C583" s="111" t="str">
        <f t="shared" si="26"/>
        <v/>
      </c>
      <c r="D583" s="117"/>
      <c r="E583" s="113" t="str">
        <f t="shared" si="27"/>
        <v/>
      </c>
      <c r="F583" s="111" t="str">
        <f t="shared" si="28"/>
        <v/>
      </c>
    </row>
    <row r="584" spans="1:6" x14ac:dyDescent="0.25">
      <c r="A584" s="116" t="s">
        <v>1590</v>
      </c>
      <c r="B584" s="114"/>
      <c r="C584" s="111" t="str">
        <f t="shared" si="26"/>
        <v/>
      </c>
      <c r="D584" s="117"/>
      <c r="E584" s="113" t="str">
        <f t="shared" si="27"/>
        <v/>
      </c>
      <c r="F584" s="111" t="str">
        <f t="shared" si="28"/>
        <v/>
      </c>
    </row>
    <row r="585" spans="1:6" x14ac:dyDescent="0.25">
      <c r="A585" s="116" t="s">
        <v>1591</v>
      </c>
      <c r="B585" s="114"/>
      <c r="C585" s="111" t="str">
        <f t="shared" si="26"/>
        <v/>
      </c>
      <c r="D585" s="117"/>
      <c r="E585" s="113" t="str">
        <f t="shared" si="27"/>
        <v/>
      </c>
      <c r="F585" s="111" t="str">
        <f t="shared" si="28"/>
        <v/>
      </c>
    </row>
    <row r="586" spans="1:6" x14ac:dyDescent="0.25">
      <c r="A586" s="116" t="s">
        <v>1592</v>
      </c>
      <c r="B586" s="114"/>
      <c r="C586" s="111" t="str">
        <f t="shared" ref="C586:C649" si="29">IF(ISNA(VLOOKUP(B586,$A$1:$A$1000,1,FALSE)),"","Yes")</f>
        <v/>
      </c>
      <c r="D586" s="117"/>
      <c r="E586" s="113" t="str">
        <f t="shared" si="27"/>
        <v/>
      </c>
      <c r="F586" s="111" t="str">
        <f t="shared" si="28"/>
        <v/>
      </c>
    </row>
    <row r="587" spans="1:6" x14ac:dyDescent="0.25">
      <c r="A587" s="116" t="s">
        <v>1593</v>
      </c>
      <c r="B587" s="114"/>
      <c r="C587" s="111" t="str">
        <f t="shared" si="29"/>
        <v/>
      </c>
      <c r="D587" s="117"/>
      <c r="E587" s="113" t="str">
        <f t="shared" si="27"/>
        <v/>
      </c>
      <c r="F587" s="111" t="str">
        <f t="shared" si="28"/>
        <v/>
      </c>
    </row>
    <row r="588" spans="1:6" x14ac:dyDescent="0.25">
      <c r="A588" s="116" t="s">
        <v>1594</v>
      </c>
      <c r="B588" s="114"/>
      <c r="C588" s="111" t="str">
        <f t="shared" si="29"/>
        <v/>
      </c>
      <c r="D588" s="117"/>
      <c r="E588" s="113" t="str">
        <f t="shared" si="27"/>
        <v/>
      </c>
      <c r="F588" s="111" t="str">
        <f t="shared" si="28"/>
        <v/>
      </c>
    </row>
    <row r="589" spans="1:6" x14ac:dyDescent="0.25">
      <c r="A589" s="116" t="s">
        <v>1595</v>
      </c>
      <c r="B589" s="114"/>
      <c r="C589" s="111" t="str">
        <f t="shared" si="29"/>
        <v/>
      </c>
      <c r="D589" s="117"/>
      <c r="E589" s="113" t="str">
        <f t="shared" si="27"/>
        <v/>
      </c>
      <c r="F589" s="111" t="str">
        <f t="shared" si="28"/>
        <v/>
      </c>
    </row>
    <row r="590" spans="1:6" x14ac:dyDescent="0.25">
      <c r="A590" s="116" t="s">
        <v>1596</v>
      </c>
      <c r="B590" s="114"/>
      <c r="C590" s="111" t="str">
        <f t="shared" si="29"/>
        <v/>
      </c>
      <c r="D590" s="117"/>
      <c r="E590" s="113" t="str">
        <f t="shared" si="27"/>
        <v/>
      </c>
      <c r="F590" s="111" t="str">
        <f t="shared" si="28"/>
        <v/>
      </c>
    </row>
    <row r="591" spans="1:6" x14ac:dyDescent="0.25">
      <c r="A591" s="116" t="s">
        <v>1597</v>
      </c>
      <c r="B591" s="114"/>
      <c r="C591" s="111" t="str">
        <f t="shared" si="29"/>
        <v/>
      </c>
      <c r="D591" s="117"/>
      <c r="E591" s="113" t="str">
        <f t="shared" si="27"/>
        <v/>
      </c>
      <c r="F591" s="111" t="str">
        <f t="shared" si="28"/>
        <v/>
      </c>
    </row>
    <row r="592" spans="1:6" x14ac:dyDescent="0.25">
      <c r="A592" s="116" t="s">
        <v>1598</v>
      </c>
      <c r="B592" s="114"/>
      <c r="C592" s="111" t="str">
        <f t="shared" si="29"/>
        <v/>
      </c>
      <c r="D592" s="117"/>
      <c r="E592" s="113" t="str">
        <f t="shared" si="27"/>
        <v/>
      </c>
      <c r="F592" s="111" t="str">
        <f t="shared" si="28"/>
        <v/>
      </c>
    </row>
    <row r="593" spans="1:6" x14ac:dyDescent="0.25">
      <c r="A593" s="116" t="s">
        <v>1599</v>
      </c>
      <c r="B593" s="114"/>
      <c r="C593" s="111" t="str">
        <f t="shared" si="29"/>
        <v/>
      </c>
      <c r="D593" s="117"/>
      <c r="E593" s="113" t="str">
        <f t="shared" si="27"/>
        <v/>
      </c>
      <c r="F593" s="111" t="str">
        <f t="shared" si="28"/>
        <v/>
      </c>
    </row>
    <row r="594" spans="1:6" x14ac:dyDescent="0.25">
      <c r="A594" s="116" t="s">
        <v>1600</v>
      </c>
      <c r="B594" s="114"/>
      <c r="C594" s="111" t="str">
        <f t="shared" si="29"/>
        <v/>
      </c>
      <c r="D594" s="117"/>
      <c r="E594" s="113" t="str">
        <f t="shared" si="27"/>
        <v/>
      </c>
      <c r="F594" s="111" t="str">
        <f t="shared" si="28"/>
        <v/>
      </c>
    </row>
    <row r="595" spans="1:6" x14ac:dyDescent="0.25">
      <c r="A595" s="116" t="s">
        <v>1601</v>
      </c>
      <c r="B595" s="114"/>
      <c r="C595" s="111" t="str">
        <f t="shared" si="29"/>
        <v/>
      </c>
      <c r="D595" s="117"/>
      <c r="E595" s="113" t="str">
        <f t="shared" si="27"/>
        <v/>
      </c>
      <c r="F595" s="111" t="str">
        <f t="shared" si="28"/>
        <v/>
      </c>
    </row>
    <row r="596" spans="1:6" x14ac:dyDescent="0.25">
      <c r="A596" s="116" t="s">
        <v>1602</v>
      </c>
      <c r="B596" s="114"/>
      <c r="C596" s="111" t="str">
        <f t="shared" si="29"/>
        <v/>
      </c>
      <c r="D596" s="117"/>
      <c r="E596" s="113" t="str">
        <f t="shared" si="27"/>
        <v/>
      </c>
      <c r="F596" s="111" t="str">
        <f t="shared" si="28"/>
        <v/>
      </c>
    </row>
    <row r="597" spans="1:6" x14ac:dyDescent="0.25">
      <c r="A597" s="116" t="s">
        <v>1603</v>
      </c>
      <c r="B597" s="114"/>
      <c r="C597" s="111" t="str">
        <f t="shared" si="29"/>
        <v/>
      </c>
      <c r="D597" s="117"/>
      <c r="E597" s="113" t="str">
        <f t="shared" si="27"/>
        <v/>
      </c>
      <c r="F597" s="111" t="str">
        <f t="shared" si="28"/>
        <v/>
      </c>
    </row>
    <row r="598" spans="1:6" x14ac:dyDescent="0.25">
      <c r="A598" s="116" t="s">
        <v>1604</v>
      </c>
      <c r="B598" s="114"/>
      <c r="C598" s="111" t="str">
        <f t="shared" si="29"/>
        <v/>
      </c>
      <c r="D598" s="117"/>
      <c r="E598" s="113" t="str">
        <f t="shared" si="27"/>
        <v/>
      </c>
      <c r="F598" s="111" t="str">
        <f t="shared" si="28"/>
        <v/>
      </c>
    </row>
    <row r="599" spans="1:6" x14ac:dyDescent="0.25">
      <c r="A599" s="116" t="s">
        <v>1605</v>
      </c>
      <c r="B599" s="114"/>
      <c r="C599" s="111" t="str">
        <f t="shared" si="29"/>
        <v/>
      </c>
      <c r="D599" s="117"/>
      <c r="E599" s="113" t="str">
        <f t="shared" si="27"/>
        <v/>
      </c>
      <c r="F599" s="111" t="str">
        <f t="shared" si="28"/>
        <v/>
      </c>
    </row>
    <row r="600" spans="1:6" x14ac:dyDescent="0.25">
      <c r="A600" s="116" t="s">
        <v>1606</v>
      </c>
      <c r="B600" s="114"/>
      <c r="C600" s="111" t="str">
        <f t="shared" si="29"/>
        <v/>
      </c>
      <c r="D600" s="117"/>
      <c r="E600" s="113" t="str">
        <f t="shared" si="27"/>
        <v/>
      </c>
      <c r="F600" s="111" t="str">
        <f t="shared" si="28"/>
        <v/>
      </c>
    </row>
    <row r="601" spans="1:6" x14ac:dyDescent="0.25">
      <c r="A601" s="116" t="s">
        <v>1607</v>
      </c>
      <c r="B601" s="114"/>
      <c r="C601" s="111" t="str">
        <f t="shared" si="29"/>
        <v/>
      </c>
      <c r="D601" s="117"/>
      <c r="E601" s="113" t="str">
        <f t="shared" si="27"/>
        <v/>
      </c>
      <c r="F601" s="111" t="str">
        <f t="shared" si="28"/>
        <v/>
      </c>
    </row>
    <row r="602" spans="1:6" x14ac:dyDescent="0.25">
      <c r="A602" s="116" t="s">
        <v>1608</v>
      </c>
      <c r="B602" s="114"/>
      <c r="C602" s="111" t="str">
        <f t="shared" si="29"/>
        <v/>
      </c>
      <c r="D602" s="117"/>
      <c r="E602" s="113" t="str">
        <f t="shared" si="27"/>
        <v/>
      </c>
      <c r="F602" s="111" t="str">
        <f t="shared" si="28"/>
        <v/>
      </c>
    </row>
    <row r="603" spans="1:6" x14ac:dyDescent="0.25">
      <c r="A603" s="116" t="s">
        <v>1609</v>
      </c>
      <c r="B603" s="114"/>
      <c r="C603" s="111" t="str">
        <f t="shared" si="29"/>
        <v/>
      </c>
      <c r="D603" s="117"/>
      <c r="E603" s="113" t="str">
        <f t="shared" si="27"/>
        <v/>
      </c>
      <c r="F603" s="111" t="str">
        <f t="shared" si="28"/>
        <v/>
      </c>
    </row>
    <row r="604" spans="1:6" x14ac:dyDescent="0.25">
      <c r="A604" s="116" t="s">
        <v>1610</v>
      </c>
      <c r="B604" s="114"/>
      <c r="C604" s="111" t="str">
        <f t="shared" si="29"/>
        <v/>
      </c>
      <c r="D604" s="117"/>
      <c r="E604" s="113" t="str">
        <f t="shared" si="27"/>
        <v/>
      </c>
      <c r="F604" s="111" t="str">
        <f t="shared" si="28"/>
        <v/>
      </c>
    </row>
    <row r="605" spans="1:6" x14ac:dyDescent="0.25">
      <c r="A605" s="116" t="s">
        <v>1611</v>
      </c>
      <c r="B605" s="114"/>
      <c r="C605" s="111" t="str">
        <f t="shared" si="29"/>
        <v/>
      </c>
      <c r="D605" s="117"/>
      <c r="E605" s="113" t="str">
        <f t="shared" si="27"/>
        <v/>
      </c>
      <c r="F605" s="111" t="str">
        <f t="shared" si="28"/>
        <v/>
      </c>
    </row>
    <row r="606" spans="1:6" x14ac:dyDescent="0.25">
      <c r="A606" s="116" t="s">
        <v>1612</v>
      </c>
      <c r="B606" s="114"/>
      <c r="C606" s="111" t="str">
        <f t="shared" si="29"/>
        <v/>
      </c>
      <c r="D606" s="117"/>
      <c r="E606" s="113" t="str">
        <f t="shared" si="27"/>
        <v/>
      </c>
      <c r="F606" s="111" t="str">
        <f t="shared" si="28"/>
        <v/>
      </c>
    </row>
    <row r="607" spans="1:6" x14ac:dyDescent="0.25">
      <c r="A607" s="116" t="s">
        <v>1613</v>
      </c>
      <c r="B607" s="114"/>
      <c r="C607" s="111" t="str">
        <f t="shared" si="29"/>
        <v/>
      </c>
      <c r="D607" s="117"/>
      <c r="E607" s="113" t="str">
        <f t="shared" si="27"/>
        <v/>
      </c>
      <c r="F607" s="111" t="str">
        <f t="shared" si="28"/>
        <v/>
      </c>
    </row>
    <row r="608" spans="1:6" x14ac:dyDescent="0.25">
      <c r="A608" s="116" t="s">
        <v>1614</v>
      </c>
      <c r="B608" s="114"/>
      <c r="C608" s="111" t="str">
        <f t="shared" si="29"/>
        <v/>
      </c>
      <c r="D608" s="117"/>
      <c r="E608" s="113" t="str">
        <f t="shared" si="27"/>
        <v/>
      </c>
      <c r="F608" s="111" t="str">
        <f t="shared" si="28"/>
        <v/>
      </c>
    </row>
    <row r="609" spans="1:6" x14ac:dyDescent="0.25">
      <c r="A609" s="116" t="s">
        <v>1615</v>
      </c>
      <c r="B609" s="114"/>
      <c r="C609" s="111" t="str">
        <f t="shared" si="29"/>
        <v/>
      </c>
      <c r="D609" s="117"/>
      <c r="E609" s="113" t="str">
        <f t="shared" si="27"/>
        <v/>
      </c>
      <c r="F609" s="111" t="str">
        <f t="shared" si="28"/>
        <v/>
      </c>
    </row>
    <row r="610" spans="1:6" x14ac:dyDescent="0.25">
      <c r="A610" s="116" t="s">
        <v>1616</v>
      </c>
      <c r="B610" s="114"/>
      <c r="C610" s="111" t="str">
        <f t="shared" si="29"/>
        <v/>
      </c>
      <c r="D610" s="117"/>
      <c r="E610" s="113" t="str">
        <f t="shared" si="27"/>
        <v/>
      </c>
      <c r="F610" s="111" t="str">
        <f t="shared" si="28"/>
        <v/>
      </c>
    </row>
    <row r="611" spans="1:6" x14ac:dyDescent="0.25">
      <c r="A611" s="116" t="s">
        <v>1617</v>
      </c>
      <c r="B611" s="114"/>
      <c r="C611" s="111" t="str">
        <f t="shared" si="29"/>
        <v/>
      </c>
      <c r="D611" s="117"/>
      <c r="E611" s="113" t="str">
        <f t="shared" si="27"/>
        <v/>
      </c>
      <c r="F611" s="111" t="str">
        <f t="shared" si="28"/>
        <v/>
      </c>
    </row>
    <row r="612" spans="1:6" x14ac:dyDescent="0.25">
      <c r="A612" s="116" t="s">
        <v>1618</v>
      </c>
      <c r="B612" s="114"/>
      <c r="C612" s="111" t="str">
        <f t="shared" si="29"/>
        <v/>
      </c>
      <c r="D612" s="117"/>
      <c r="E612" s="113" t="str">
        <f t="shared" si="27"/>
        <v/>
      </c>
      <c r="F612" s="111" t="str">
        <f t="shared" si="28"/>
        <v/>
      </c>
    </row>
    <row r="613" spans="1:6" x14ac:dyDescent="0.25">
      <c r="A613" s="116" t="s">
        <v>1619</v>
      </c>
      <c r="B613" s="114"/>
      <c r="C613" s="111" t="str">
        <f t="shared" si="29"/>
        <v/>
      </c>
      <c r="D613" s="117"/>
      <c r="E613" s="113" t="str">
        <f t="shared" si="27"/>
        <v/>
      </c>
      <c r="F613" s="111" t="str">
        <f t="shared" si="28"/>
        <v/>
      </c>
    </row>
    <row r="614" spans="1:6" x14ac:dyDescent="0.25">
      <c r="A614" s="116" t="s">
        <v>1620</v>
      </c>
      <c r="B614" s="114"/>
      <c r="C614" s="111" t="str">
        <f t="shared" si="29"/>
        <v/>
      </c>
      <c r="D614" s="117"/>
      <c r="E614" s="113" t="str">
        <f t="shared" si="27"/>
        <v/>
      </c>
      <c r="F614" s="111" t="str">
        <f t="shared" si="28"/>
        <v/>
      </c>
    </row>
    <row r="615" spans="1:6" x14ac:dyDescent="0.25">
      <c r="A615" s="116" t="s">
        <v>1621</v>
      </c>
      <c r="B615" s="114"/>
      <c r="C615" s="111" t="str">
        <f t="shared" si="29"/>
        <v/>
      </c>
      <c r="D615" s="117"/>
      <c r="E615" s="113" t="str">
        <f t="shared" si="27"/>
        <v/>
      </c>
      <c r="F615" s="111" t="str">
        <f t="shared" si="28"/>
        <v/>
      </c>
    </row>
    <row r="616" spans="1:6" x14ac:dyDescent="0.25">
      <c r="A616" s="116" t="s">
        <v>1622</v>
      </c>
      <c r="B616" s="114"/>
      <c r="C616" s="111" t="str">
        <f t="shared" si="29"/>
        <v/>
      </c>
      <c r="D616" s="117"/>
      <c r="E616" s="113" t="str">
        <f t="shared" si="27"/>
        <v/>
      </c>
      <c r="F616" s="111" t="str">
        <f t="shared" si="28"/>
        <v/>
      </c>
    </row>
    <row r="617" spans="1:6" x14ac:dyDescent="0.25">
      <c r="A617" s="116" t="s">
        <v>1623</v>
      </c>
      <c r="B617" s="114"/>
      <c r="C617" s="111" t="str">
        <f t="shared" si="29"/>
        <v/>
      </c>
      <c r="D617" s="117"/>
      <c r="E617" s="113" t="str">
        <f t="shared" si="27"/>
        <v/>
      </c>
      <c r="F617" s="111" t="str">
        <f t="shared" si="28"/>
        <v/>
      </c>
    </row>
    <row r="618" spans="1:6" x14ac:dyDescent="0.25">
      <c r="A618" s="116" t="s">
        <v>1624</v>
      </c>
      <c r="B618" s="114"/>
      <c r="C618" s="111" t="str">
        <f t="shared" si="29"/>
        <v/>
      </c>
      <c r="D618" s="117"/>
      <c r="E618" s="113" t="str">
        <f t="shared" si="27"/>
        <v/>
      </c>
      <c r="F618" s="111" t="str">
        <f t="shared" si="28"/>
        <v/>
      </c>
    </row>
    <row r="619" spans="1:6" x14ac:dyDescent="0.25">
      <c r="A619" s="116" t="s">
        <v>1625</v>
      </c>
      <c r="B619" s="114"/>
      <c r="C619" s="111" t="str">
        <f t="shared" si="29"/>
        <v/>
      </c>
      <c r="D619" s="117"/>
      <c r="E619" s="113" t="str">
        <f t="shared" si="27"/>
        <v/>
      </c>
      <c r="F619" s="111" t="str">
        <f t="shared" si="28"/>
        <v/>
      </c>
    </row>
    <row r="620" spans="1:6" x14ac:dyDescent="0.25">
      <c r="A620" s="116" t="s">
        <v>1626</v>
      </c>
      <c r="B620" s="114"/>
      <c r="C620" s="111" t="str">
        <f t="shared" si="29"/>
        <v/>
      </c>
      <c r="D620" s="117"/>
      <c r="E620" s="113" t="str">
        <f t="shared" si="27"/>
        <v/>
      </c>
      <c r="F620" s="111" t="str">
        <f t="shared" si="28"/>
        <v/>
      </c>
    </row>
    <row r="621" spans="1:6" x14ac:dyDescent="0.25">
      <c r="A621" s="116" t="s">
        <v>1627</v>
      </c>
      <c r="B621" s="114"/>
      <c r="C621" s="111" t="str">
        <f t="shared" si="29"/>
        <v/>
      </c>
      <c r="D621" s="117"/>
      <c r="E621" s="113" t="str">
        <f t="shared" si="27"/>
        <v/>
      </c>
      <c r="F621" s="111" t="str">
        <f t="shared" si="28"/>
        <v/>
      </c>
    </row>
    <row r="622" spans="1:6" x14ac:dyDescent="0.25">
      <c r="A622" s="116" t="s">
        <v>1628</v>
      </c>
      <c r="B622" s="114"/>
      <c r="C622" s="111" t="str">
        <f t="shared" si="29"/>
        <v/>
      </c>
      <c r="D622" s="117"/>
      <c r="E622" s="113" t="str">
        <f t="shared" si="27"/>
        <v/>
      </c>
      <c r="F622" s="111" t="str">
        <f t="shared" si="28"/>
        <v/>
      </c>
    </row>
    <row r="623" spans="1:6" x14ac:dyDescent="0.25">
      <c r="A623" s="116" t="s">
        <v>1629</v>
      </c>
      <c r="B623" s="114"/>
      <c r="C623" s="111" t="str">
        <f t="shared" si="29"/>
        <v/>
      </c>
      <c r="D623" s="117"/>
      <c r="E623" s="113" t="str">
        <f t="shared" si="27"/>
        <v/>
      </c>
      <c r="F623" s="111" t="str">
        <f t="shared" si="28"/>
        <v/>
      </c>
    </row>
    <row r="624" spans="1:6" x14ac:dyDescent="0.25">
      <c r="A624" s="116" t="s">
        <v>1630</v>
      </c>
      <c r="B624" s="114"/>
      <c r="C624" s="111" t="str">
        <f t="shared" si="29"/>
        <v/>
      </c>
      <c r="D624" s="117"/>
      <c r="E624" s="113" t="str">
        <f t="shared" si="27"/>
        <v/>
      </c>
      <c r="F624" s="111" t="str">
        <f t="shared" si="28"/>
        <v/>
      </c>
    </row>
    <row r="625" spans="1:6" x14ac:dyDescent="0.25">
      <c r="A625" s="116"/>
      <c r="B625" s="114"/>
      <c r="C625" s="111" t="str">
        <f t="shared" si="29"/>
        <v/>
      </c>
      <c r="D625" s="117"/>
      <c r="E625" s="113" t="str">
        <f t="shared" si="27"/>
        <v/>
      </c>
      <c r="F625" s="111" t="str">
        <f t="shared" si="28"/>
        <v/>
      </c>
    </row>
    <row r="626" spans="1:6" x14ac:dyDescent="0.25">
      <c r="A626" s="116"/>
      <c r="B626" s="114"/>
      <c r="C626" s="111" t="str">
        <f t="shared" si="29"/>
        <v/>
      </c>
      <c r="D626" s="117"/>
      <c r="E626" s="113" t="str">
        <f t="shared" si="27"/>
        <v/>
      </c>
      <c r="F626" s="111" t="str">
        <f t="shared" si="28"/>
        <v/>
      </c>
    </row>
    <row r="627" spans="1:6" x14ac:dyDescent="0.25">
      <c r="A627" s="116"/>
      <c r="B627" s="114"/>
      <c r="C627" s="111" t="str">
        <f t="shared" si="29"/>
        <v/>
      </c>
      <c r="D627" s="117"/>
      <c r="E627" s="113" t="str">
        <f t="shared" si="27"/>
        <v/>
      </c>
      <c r="F627" s="111" t="str">
        <f t="shared" si="28"/>
        <v/>
      </c>
    </row>
    <row r="628" spans="1:6" x14ac:dyDescent="0.25">
      <c r="A628" s="116"/>
      <c r="B628" s="114"/>
      <c r="C628" s="111" t="str">
        <f t="shared" si="29"/>
        <v/>
      </c>
      <c r="D628" s="117"/>
      <c r="E628" s="113" t="str">
        <f t="shared" si="27"/>
        <v/>
      </c>
      <c r="F628" s="111" t="str">
        <f t="shared" si="28"/>
        <v/>
      </c>
    </row>
    <row r="629" spans="1:6" x14ac:dyDescent="0.25">
      <c r="A629" s="116"/>
      <c r="B629" s="114"/>
      <c r="C629" s="111" t="str">
        <f t="shared" si="29"/>
        <v/>
      </c>
      <c r="D629" s="117"/>
      <c r="E629" s="113" t="str">
        <f t="shared" si="27"/>
        <v/>
      </c>
      <c r="F629" s="111" t="str">
        <f t="shared" si="28"/>
        <v/>
      </c>
    </row>
    <row r="630" spans="1:6" x14ac:dyDescent="0.25">
      <c r="A630" s="116"/>
      <c r="B630" s="114"/>
      <c r="C630" s="111" t="str">
        <f t="shared" si="29"/>
        <v/>
      </c>
      <c r="D630" s="117"/>
      <c r="E630" s="113" t="str">
        <f t="shared" si="27"/>
        <v/>
      </c>
      <c r="F630" s="111" t="str">
        <f t="shared" si="28"/>
        <v/>
      </c>
    </row>
    <row r="631" spans="1:6" x14ac:dyDescent="0.25">
      <c r="A631" s="116"/>
      <c r="B631" s="114"/>
      <c r="C631" s="111" t="str">
        <f t="shared" si="29"/>
        <v/>
      </c>
      <c r="D631" s="117"/>
      <c r="E631" s="113" t="str">
        <f t="shared" si="27"/>
        <v/>
      </c>
      <c r="F631" s="111" t="str">
        <f t="shared" si="28"/>
        <v/>
      </c>
    </row>
    <row r="632" spans="1:6" x14ac:dyDescent="0.25">
      <c r="A632" s="116"/>
      <c r="B632" s="114"/>
      <c r="C632" s="111" t="str">
        <f t="shared" si="29"/>
        <v/>
      </c>
      <c r="D632" s="117"/>
      <c r="E632" s="113" t="str">
        <f t="shared" si="27"/>
        <v/>
      </c>
      <c r="F632" s="111" t="str">
        <f t="shared" si="28"/>
        <v/>
      </c>
    </row>
    <row r="633" spans="1:6" x14ac:dyDescent="0.25">
      <c r="A633" s="116"/>
      <c r="B633" s="114"/>
      <c r="C633" s="111" t="str">
        <f t="shared" si="29"/>
        <v/>
      </c>
      <c r="D633" s="117"/>
      <c r="E633" s="113" t="str">
        <f t="shared" si="27"/>
        <v/>
      </c>
      <c r="F633" s="111" t="str">
        <f t="shared" si="28"/>
        <v/>
      </c>
    </row>
    <row r="634" spans="1:6" x14ac:dyDescent="0.25">
      <c r="A634" s="116"/>
      <c r="B634" s="114"/>
      <c r="C634" s="111" t="str">
        <f t="shared" si="29"/>
        <v/>
      </c>
      <c r="D634" s="117"/>
      <c r="E634" s="113" t="str">
        <f t="shared" si="27"/>
        <v/>
      </c>
      <c r="F634" s="111" t="str">
        <f t="shared" si="28"/>
        <v/>
      </c>
    </row>
    <row r="635" spans="1:6" x14ac:dyDescent="0.25">
      <c r="A635" s="116"/>
      <c r="B635" s="114"/>
      <c r="C635" s="111" t="str">
        <f t="shared" si="29"/>
        <v/>
      </c>
      <c r="D635" s="117"/>
      <c r="E635" s="113" t="str">
        <f t="shared" si="27"/>
        <v/>
      </c>
      <c r="F635" s="111" t="str">
        <f t="shared" si="28"/>
        <v/>
      </c>
    </row>
    <row r="636" spans="1:6" x14ac:dyDescent="0.25">
      <c r="A636" s="116"/>
      <c r="B636" s="114"/>
      <c r="C636" s="111" t="str">
        <f t="shared" si="29"/>
        <v/>
      </c>
      <c r="D636" s="117"/>
      <c r="E636" s="113" t="str">
        <f t="shared" si="27"/>
        <v/>
      </c>
      <c r="F636" s="111" t="str">
        <f t="shared" si="28"/>
        <v/>
      </c>
    </row>
    <row r="637" spans="1:6" x14ac:dyDescent="0.25">
      <c r="A637" s="116"/>
      <c r="B637" s="114"/>
      <c r="C637" s="111" t="str">
        <f t="shared" si="29"/>
        <v/>
      </c>
      <c r="D637" s="117"/>
      <c r="E637" s="113" t="str">
        <f t="shared" si="27"/>
        <v/>
      </c>
      <c r="F637" s="111" t="str">
        <f t="shared" si="28"/>
        <v/>
      </c>
    </row>
    <row r="638" spans="1:6" x14ac:dyDescent="0.25">
      <c r="A638" s="116"/>
      <c r="B638" s="114"/>
      <c r="C638" s="111" t="str">
        <f t="shared" si="29"/>
        <v/>
      </c>
      <c r="D638" s="117"/>
      <c r="E638" s="113" t="str">
        <f t="shared" si="27"/>
        <v/>
      </c>
      <c r="F638" s="111" t="str">
        <f t="shared" si="28"/>
        <v/>
      </c>
    </row>
    <row r="639" spans="1:6" x14ac:dyDescent="0.25">
      <c r="A639" s="116"/>
      <c r="B639" s="114"/>
      <c r="C639" s="111" t="str">
        <f t="shared" si="29"/>
        <v/>
      </c>
      <c r="D639" s="117"/>
      <c r="E639" s="113" t="str">
        <f t="shared" si="27"/>
        <v/>
      </c>
      <c r="F639" s="111" t="str">
        <f t="shared" si="28"/>
        <v/>
      </c>
    </row>
    <row r="640" spans="1:6" x14ac:dyDescent="0.25">
      <c r="A640" s="116"/>
      <c r="B640" s="114"/>
      <c r="C640" s="111" t="str">
        <f t="shared" si="29"/>
        <v/>
      </c>
      <c r="D640" s="117"/>
      <c r="E640" s="113" t="str">
        <f t="shared" si="27"/>
        <v/>
      </c>
      <c r="F640" s="111" t="str">
        <f t="shared" si="28"/>
        <v/>
      </c>
    </row>
    <row r="641" spans="1:6" x14ac:dyDescent="0.25">
      <c r="A641" s="116"/>
      <c r="B641" s="114"/>
      <c r="C641" s="111" t="str">
        <f t="shared" si="29"/>
        <v/>
      </c>
      <c r="D641" s="117"/>
      <c r="E641" s="113" t="str">
        <f t="shared" si="27"/>
        <v/>
      </c>
      <c r="F641" s="111" t="str">
        <f t="shared" si="28"/>
        <v/>
      </c>
    </row>
    <row r="642" spans="1:6" x14ac:dyDescent="0.25">
      <c r="A642" s="116"/>
      <c r="B642" s="114"/>
      <c r="C642" s="111" t="str">
        <f t="shared" si="29"/>
        <v/>
      </c>
      <c r="D642" s="117"/>
      <c r="E642" s="113" t="str">
        <f t="shared" si="27"/>
        <v/>
      </c>
      <c r="F642" s="111" t="str">
        <f t="shared" si="28"/>
        <v/>
      </c>
    </row>
    <row r="643" spans="1:6" x14ac:dyDescent="0.25">
      <c r="A643" s="116"/>
      <c r="B643" s="114"/>
      <c r="C643" s="111" t="str">
        <f t="shared" si="29"/>
        <v/>
      </c>
      <c r="D643" s="117"/>
      <c r="E643" s="113" t="str">
        <f t="shared" ref="E643:E706" si="30">IFERROR(MATCH(A643,$D$2:$D$1000,),"")</f>
        <v/>
      </c>
      <c r="F643" s="111" t="str">
        <f t="shared" ref="F643:F706" si="31">IF(E643&lt;&gt;"",INDEX($D$2:$D$1000,E643,1),"")</f>
        <v/>
      </c>
    </row>
    <row r="644" spans="1:6" x14ac:dyDescent="0.25">
      <c r="A644" s="116"/>
      <c r="B644" s="114"/>
      <c r="C644" s="111" t="str">
        <f t="shared" si="29"/>
        <v/>
      </c>
      <c r="D644" s="117"/>
      <c r="E644" s="113" t="str">
        <f t="shared" si="30"/>
        <v/>
      </c>
      <c r="F644" s="111" t="str">
        <f t="shared" si="31"/>
        <v/>
      </c>
    </row>
    <row r="645" spans="1:6" x14ac:dyDescent="0.25">
      <c r="A645" s="116"/>
      <c r="B645" s="114"/>
      <c r="C645" s="111" t="str">
        <f t="shared" si="29"/>
        <v/>
      </c>
      <c r="D645" s="117"/>
      <c r="E645" s="113" t="str">
        <f t="shared" si="30"/>
        <v/>
      </c>
      <c r="F645" s="111" t="str">
        <f t="shared" si="31"/>
        <v/>
      </c>
    </row>
    <row r="646" spans="1:6" x14ac:dyDescent="0.25">
      <c r="A646" s="116"/>
      <c r="B646" s="114"/>
      <c r="C646" s="111" t="str">
        <f t="shared" si="29"/>
        <v/>
      </c>
      <c r="D646" s="117"/>
      <c r="E646" s="113" t="str">
        <f t="shared" si="30"/>
        <v/>
      </c>
      <c r="F646" s="111" t="str">
        <f t="shared" si="31"/>
        <v/>
      </c>
    </row>
    <row r="647" spans="1:6" x14ac:dyDescent="0.25">
      <c r="A647" s="116"/>
      <c r="B647" s="114"/>
      <c r="C647" s="111" t="str">
        <f t="shared" si="29"/>
        <v/>
      </c>
      <c r="D647" s="117"/>
      <c r="E647" s="113" t="str">
        <f t="shared" si="30"/>
        <v/>
      </c>
      <c r="F647" s="111" t="str">
        <f t="shared" si="31"/>
        <v/>
      </c>
    </row>
    <row r="648" spans="1:6" x14ac:dyDescent="0.25">
      <c r="A648" s="116"/>
      <c r="B648" s="114"/>
      <c r="C648" s="111" t="str">
        <f t="shared" si="29"/>
        <v/>
      </c>
      <c r="D648" s="117"/>
      <c r="E648" s="113" t="str">
        <f t="shared" si="30"/>
        <v/>
      </c>
      <c r="F648" s="111" t="str">
        <f t="shared" si="31"/>
        <v/>
      </c>
    </row>
    <row r="649" spans="1:6" x14ac:dyDescent="0.25">
      <c r="A649" s="116"/>
      <c r="B649" s="114"/>
      <c r="C649" s="111" t="str">
        <f t="shared" si="29"/>
        <v/>
      </c>
      <c r="D649" s="117"/>
      <c r="E649" s="113" t="str">
        <f t="shared" si="30"/>
        <v/>
      </c>
      <c r="F649" s="111" t="str">
        <f t="shared" si="31"/>
        <v/>
      </c>
    </row>
    <row r="650" spans="1:6" x14ac:dyDescent="0.25">
      <c r="A650" s="116"/>
      <c r="B650" s="114"/>
      <c r="C650" s="111" t="str">
        <f t="shared" ref="C650:C713" si="32">IF(ISNA(VLOOKUP(B650,$A$1:$A$1000,1,FALSE)),"","Yes")</f>
        <v/>
      </c>
      <c r="D650" s="117"/>
      <c r="E650" s="113" t="str">
        <f t="shared" si="30"/>
        <v/>
      </c>
      <c r="F650" s="111" t="str">
        <f t="shared" si="31"/>
        <v/>
      </c>
    </row>
    <row r="651" spans="1:6" x14ac:dyDescent="0.25">
      <c r="A651" s="116"/>
      <c r="B651" s="114"/>
      <c r="C651" s="111" t="str">
        <f t="shared" si="32"/>
        <v/>
      </c>
      <c r="D651" s="117"/>
      <c r="E651" s="113" t="str">
        <f t="shared" si="30"/>
        <v/>
      </c>
      <c r="F651" s="111" t="str">
        <f t="shared" si="31"/>
        <v/>
      </c>
    </row>
    <row r="652" spans="1:6" x14ac:dyDescent="0.25">
      <c r="A652" s="116"/>
      <c r="B652" s="114"/>
      <c r="C652" s="111" t="str">
        <f t="shared" si="32"/>
        <v/>
      </c>
      <c r="D652" s="117"/>
      <c r="E652" s="113" t="str">
        <f t="shared" si="30"/>
        <v/>
      </c>
      <c r="F652" s="111" t="str">
        <f t="shared" si="31"/>
        <v/>
      </c>
    </row>
    <row r="653" spans="1:6" x14ac:dyDescent="0.25">
      <c r="A653" s="116"/>
      <c r="B653" s="114"/>
      <c r="C653" s="111" t="str">
        <f t="shared" si="32"/>
        <v/>
      </c>
      <c r="D653" s="117"/>
      <c r="E653" s="113" t="str">
        <f t="shared" si="30"/>
        <v/>
      </c>
      <c r="F653" s="111" t="str">
        <f t="shared" si="31"/>
        <v/>
      </c>
    </row>
    <row r="654" spans="1:6" x14ac:dyDescent="0.25">
      <c r="A654" s="116"/>
      <c r="B654" s="114"/>
      <c r="C654" s="111" t="str">
        <f t="shared" si="32"/>
        <v/>
      </c>
      <c r="D654" s="117"/>
      <c r="E654" s="113" t="str">
        <f t="shared" si="30"/>
        <v/>
      </c>
      <c r="F654" s="111" t="str">
        <f t="shared" si="31"/>
        <v/>
      </c>
    </row>
    <row r="655" spans="1:6" x14ac:dyDescent="0.25">
      <c r="A655" s="116"/>
      <c r="B655" s="114"/>
      <c r="C655" s="111" t="str">
        <f t="shared" si="32"/>
        <v/>
      </c>
      <c r="D655" s="117"/>
      <c r="E655" s="113" t="str">
        <f t="shared" si="30"/>
        <v/>
      </c>
      <c r="F655" s="111" t="str">
        <f t="shared" si="31"/>
        <v/>
      </c>
    </row>
    <row r="656" spans="1:6" x14ac:dyDescent="0.25">
      <c r="A656" s="116"/>
      <c r="B656" s="114"/>
      <c r="C656" s="111" t="str">
        <f t="shared" si="32"/>
        <v/>
      </c>
      <c r="D656" s="117"/>
      <c r="E656" s="113" t="str">
        <f t="shared" si="30"/>
        <v/>
      </c>
      <c r="F656" s="111" t="str">
        <f t="shared" si="31"/>
        <v/>
      </c>
    </row>
    <row r="657" spans="1:6" x14ac:dyDescent="0.25">
      <c r="A657" s="116"/>
      <c r="B657" s="114"/>
      <c r="C657" s="111" t="str">
        <f t="shared" si="32"/>
        <v/>
      </c>
      <c r="D657" s="117"/>
      <c r="E657" s="113" t="str">
        <f t="shared" si="30"/>
        <v/>
      </c>
      <c r="F657" s="111" t="str">
        <f t="shared" si="31"/>
        <v/>
      </c>
    </row>
    <row r="658" spans="1:6" x14ac:dyDescent="0.25">
      <c r="A658" s="116"/>
      <c r="B658" s="114"/>
      <c r="C658" s="111" t="str">
        <f t="shared" si="32"/>
        <v/>
      </c>
      <c r="D658" s="117"/>
      <c r="E658" s="113" t="str">
        <f t="shared" si="30"/>
        <v/>
      </c>
      <c r="F658" s="111" t="str">
        <f t="shared" si="31"/>
        <v/>
      </c>
    </row>
    <row r="659" spans="1:6" x14ac:dyDescent="0.25">
      <c r="A659" s="116"/>
      <c r="B659" s="114"/>
      <c r="C659" s="111" t="str">
        <f t="shared" si="32"/>
        <v/>
      </c>
      <c r="D659" s="117"/>
      <c r="E659" s="113" t="str">
        <f t="shared" si="30"/>
        <v/>
      </c>
      <c r="F659" s="111" t="str">
        <f t="shared" si="31"/>
        <v/>
      </c>
    </row>
    <row r="660" spans="1:6" x14ac:dyDescent="0.25">
      <c r="A660" s="116"/>
      <c r="B660" s="114"/>
      <c r="C660" s="111" t="str">
        <f t="shared" si="32"/>
        <v/>
      </c>
      <c r="D660" s="117"/>
      <c r="E660" s="113" t="str">
        <f t="shared" si="30"/>
        <v/>
      </c>
      <c r="F660" s="111" t="str">
        <f t="shared" si="31"/>
        <v/>
      </c>
    </row>
    <row r="661" spans="1:6" x14ac:dyDescent="0.25">
      <c r="A661" s="116"/>
      <c r="B661" s="114"/>
      <c r="C661" s="111" t="str">
        <f t="shared" si="32"/>
        <v/>
      </c>
      <c r="D661" s="117"/>
      <c r="E661" s="113" t="str">
        <f t="shared" si="30"/>
        <v/>
      </c>
      <c r="F661" s="111" t="str">
        <f t="shared" si="31"/>
        <v/>
      </c>
    </row>
    <row r="662" spans="1:6" x14ac:dyDescent="0.25">
      <c r="A662" s="116"/>
      <c r="B662" s="114"/>
      <c r="C662" s="111" t="str">
        <f t="shared" si="32"/>
        <v/>
      </c>
      <c r="D662" s="117"/>
      <c r="E662" s="113" t="str">
        <f t="shared" si="30"/>
        <v/>
      </c>
      <c r="F662" s="111" t="str">
        <f t="shared" si="31"/>
        <v/>
      </c>
    </row>
    <row r="663" spans="1:6" x14ac:dyDescent="0.25">
      <c r="A663" s="116"/>
      <c r="B663" s="114"/>
      <c r="C663" s="111" t="str">
        <f t="shared" si="32"/>
        <v/>
      </c>
      <c r="D663" s="117"/>
      <c r="E663" s="113" t="str">
        <f t="shared" si="30"/>
        <v/>
      </c>
      <c r="F663" s="111" t="str">
        <f t="shared" si="31"/>
        <v/>
      </c>
    </row>
    <row r="664" spans="1:6" x14ac:dyDescent="0.25">
      <c r="A664" s="116"/>
      <c r="B664" s="114"/>
      <c r="C664" s="111" t="str">
        <f t="shared" si="32"/>
        <v/>
      </c>
      <c r="D664" s="117"/>
      <c r="E664" s="113" t="str">
        <f t="shared" si="30"/>
        <v/>
      </c>
      <c r="F664" s="111" t="str">
        <f t="shared" si="31"/>
        <v/>
      </c>
    </row>
    <row r="665" spans="1:6" x14ac:dyDescent="0.25">
      <c r="A665" s="116"/>
      <c r="B665" s="114"/>
      <c r="C665" s="111" t="str">
        <f t="shared" si="32"/>
        <v/>
      </c>
      <c r="D665" s="117"/>
      <c r="E665" s="113" t="str">
        <f t="shared" si="30"/>
        <v/>
      </c>
      <c r="F665" s="111" t="str">
        <f t="shared" si="31"/>
        <v/>
      </c>
    </row>
    <row r="666" spans="1:6" x14ac:dyDescent="0.25">
      <c r="A666" s="116"/>
      <c r="B666" s="114"/>
      <c r="C666" s="111" t="str">
        <f t="shared" si="32"/>
        <v/>
      </c>
      <c r="D666" s="117"/>
      <c r="E666" s="113" t="str">
        <f t="shared" si="30"/>
        <v/>
      </c>
      <c r="F666" s="111" t="str">
        <f t="shared" si="31"/>
        <v/>
      </c>
    </row>
    <row r="667" spans="1:6" x14ac:dyDescent="0.25">
      <c r="A667" s="116"/>
      <c r="B667" s="114"/>
      <c r="C667" s="111" t="str">
        <f t="shared" si="32"/>
        <v/>
      </c>
      <c r="D667" s="117"/>
      <c r="E667" s="113" t="str">
        <f t="shared" si="30"/>
        <v/>
      </c>
      <c r="F667" s="111" t="str">
        <f t="shared" si="31"/>
        <v/>
      </c>
    </row>
    <row r="668" spans="1:6" x14ac:dyDescent="0.25">
      <c r="A668" s="116"/>
      <c r="B668" s="114"/>
      <c r="C668" s="111" t="str">
        <f t="shared" si="32"/>
        <v/>
      </c>
      <c r="D668" s="117"/>
      <c r="E668" s="113" t="str">
        <f t="shared" si="30"/>
        <v/>
      </c>
      <c r="F668" s="111" t="str">
        <f t="shared" si="31"/>
        <v/>
      </c>
    </row>
    <row r="669" spans="1:6" x14ac:dyDescent="0.25">
      <c r="A669" s="116"/>
      <c r="B669" s="114"/>
      <c r="C669" s="111" t="str">
        <f t="shared" si="32"/>
        <v/>
      </c>
      <c r="D669" s="117"/>
      <c r="E669" s="113" t="str">
        <f t="shared" si="30"/>
        <v/>
      </c>
      <c r="F669" s="111" t="str">
        <f t="shared" si="31"/>
        <v/>
      </c>
    </row>
    <row r="670" spans="1:6" x14ac:dyDescent="0.25">
      <c r="A670" s="116"/>
      <c r="B670" s="114"/>
      <c r="C670" s="111" t="str">
        <f t="shared" si="32"/>
        <v/>
      </c>
      <c r="D670" s="117"/>
      <c r="E670" s="113" t="str">
        <f t="shared" si="30"/>
        <v/>
      </c>
      <c r="F670" s="111" t="str">
        <f t="shared" si="31"/>
        <v/>
      </c>
    </row>
    <row r="671" spans="1:6" x14ac:dyDescent="0.25">
      <c r="A671" s="116"/>
      <c r="B671" s="114"/>
      <c r="C671" s="111" t="str">
        <f t="shared" si="32"/>
        <v/>
      </c>
      <c r="D671" s="117"/>
      <c r="E671" s="113" t="str">
        <f t="shared" si="30"/>
        <v/>
      </c>
      <c r="F671" s="111" t="str">
        <f t="shared" si="31"/>
        <v/>
      </c>
    </row>
    <row r="672" spans="1:6" x14ac:dyDescent="0.25">
      <c r="A672" s="116"/>
      <c r="B672" s="114"/>
      <c r="C672" s="111" t="str">
        <f t="shared" si="32"/>
        <v/>
      </c>
      <c r="D672" s="117"/>
      <c r="E672" s="113" t="str">
        <f t="shared" si="30"/>
        <v/>
      </c>
      <c r="F672" s="111" t="str">
        <f t="shared" si="31"/>
        <v/>
      </c>
    </row>
    <row r="673" spans="1:6" x14ac:dyDescent="0.25">
      <c r="A673" s="116"/>
      <c r="B673" s="114"/>
      <c r="C673" s="111" t="str">
        <f t="shared" si="32"/>
        <v/>
      </c>
      <c r="D673" s="117"/>
      <c r="E673" s="113" t="str">
        <f t="shared" si="30"/>
        <v/>
      </c>
      <c r="F673" s="111" t="str">
        <f t="shared" si="31"/>
        <v/>
      </c>
    </row>
    <row r="674" spans="1:6" x14ac:dyDescent="0.25">
      <c r="A674" s="116"/>
      <c r="B674" s="114"/>
      <c r="C674" s="111" t="str">
        <f t="shared" si="32"/>
        <v/>
      </c>
      <c r="D674" s="117"/>
      <c r="E674" s="113" t="str">
        <f t="shared" si="30"/>
        <v/>
      </c>
      <c r="F674" s="111" t="str">
        <f t="shared" si="31"/>
        <v/>
      </c>
    </row>
    <row r="675" spans="1:6" x14ac:dyDescent="0.25">
      <c r="A675" s="116"/>
      <c r="B675" s="114"/>
      <c r="C675" s="111" t="str">
        <f t="shared" si="32"/>
        <v/>
      </c>
      <c r="D675" s="117"/>
      <c r="E675" s="113" t="str">
        <f t="shared" si="30"/>
        <v/>
      </c>
      <c r="F675" s="111" t="str">
        <f t="shared" si="31"/>
        <v/>
      </c>
    </row>
    <row r="676" spans="1:6" x14ac:dyDescent="0.25">
      <c r="A676" s="116"/>
      <c r="B676" s="114"/>
      <c r="C676" s="111" t="str">
        <f t="shared" si="32"/>
        <v/>
      </c>
      <c r="D676" s="117"/>
      <c r="E676" s="113" t="str">
        <f t="shared" si="30"/>
        <v/>
      </c>
      <c r="F676" s="111" t="str">
        <f t="shared" si="31"/>
        <v/>
      </c>
    </row>
    <row r="677" spans="1:6" x14ac:dyDescent="0.25">
      <c r="A677" s="116"/>
      <c r="B677" s="114"/>
      <c r="C677" s="111" t="str">
        <f t="shared" si="32"/>
        <v/>
      </c>
      <c r="D677" s="117"/>
      <c r="E677" s="113" t="str">
        <f t="shared" si="30"/>
        <v/>
      </c>
      <c r="F677" s="111" t="str">
        <f t="shared" si="31"/>
        <v/>
      </c>
    </row>
    <row r="678" spans="1:6" x14ac:dyDescent="0.25">
      <c r="A678" s="116"/>
      <c r="B678" s="114"/>
      <c r="C678" s="111" t="str">
        <f t="shared" si="32"/>
        <v/>
      </c>
      <c r="D678" s="117"/>
      <c r="E678" s="113" t="str">
        <f t="shared" si="30"/>
        <v/>
      </c>
      <c r="F678" s="111" t="str">
        <f t="shared" si="31"/>
        <v/>
      </c>
    </row>
    <row r="679" spans="1:6" x14ac:dyDescent="0.25">
      <c r="A679" s="116"/>
      <c r="B679" s="114"/>
      <c r="C679" s="111" t="str">
        <f t="shared" si="32"/>
        <v/>
      </c>
      <c r="D679" s="117"/>
      <c r="E679" s="113" t="str">
        <f t="shared" si="30"/>
        <v/>
      </c>
      <c r="F679" s="111" t="str">
        <f t="shared" si="31"/>
        <v/>
      </c>
    </row>
    <row r="680" spans="1:6" x14ac:dyDescent="0.25">
      <c r="A680" s="116"/>
      <c r="B680" s="114"/>
      <c r="C680" s="111" t="str">
        <f t="shared" si="32"/>
        <v/>
      </c>
      <c r="D680" s="117"/>
      <c r="E680" s="113" t="str">
        <f t="shared" si="30"/>
        <v/>
      </c>
      <c r="F680" s="111" t="str">
        <f t="shared" si="31"/>
        <v/>
      </c>
    </row>
    <row r="681" spans="1:6" x14ac:dyDescent="0.25">
      <c r="A681" s="116"/>
      <c r="B681" s="114"/>
      <c r="C681" s="111" t="str">
        <f t="shared" si="32"/>
        <v/>
      </c>
      <c r="D681" s="117"/>
      <c r="E681" s="113" t="str">
        <f t="shared" si="30"/>
        <v/>
      </c>
      <c r="F681" s="111" t="str">
        <f t="shared" si="31"/>
        <v/>
      </c>
    </row>
    <row r="682" spans="1:6" x14ac:dyDescent="0.25">
      <c r="A682" s="116"/>
      <c r="B682" s="114"/>
      <c r="C682" s="111" t="str">
        <f t="shared" si="32"/>
        <v/>
      </c>
      <c r="D682" s="117"/>
      <c r="E682" s="113" t="str">
        <f t="shared" si="30"/>
        <v/>
      </c>
      <c r="F682" s="111" t="str">
        <f t="shared" si="31"/>
        <v/>
      </c>
    </row>
    <row r="683" spans="1:6" x14ac:dyDescent="0.25">
      <c r="A683" s="116"/>
      <c r="B683" s="114"/>
      <c r="C683" s="111" t="str">
        <f t="shared" si="32"/>
        <v/>
      </c>
      <c r="D683" s="117"/>
      <c r="E683" s="113" t="str">
        <f t="shared" si="30"/>
        <v/>
      </c>
      <c r="F683" s="111" t="str">
        <f t="shared" si="31"/>
        <v/>
      </c>
    </row>
    <row r="684" spans="1:6" x14ac:dyDescent="0.25">
      <c r="A684" s="116"/>
      <c r="B684" s="114"/>
      <c r="C684" s="111" t="str">
        <f t="shared" si="32"/>
        <v/>
      </c>
      <c r="D684" s="117"/>
      <c r="E684" s="113" t="str">
        <f t="shared" si="30"/>
        <v/>
      </c>
      <c r="F684" s="111" t="str">
        <f t="shared" si="31"/>
        <v/>
      </c>
    </row>
    <row r="685" spans="1:6" x14ac:dyDescent="0.25">
      <c r="A685" s="116"/>
      <c r="B685" s="114"/>
      <c r="C685" s="111" t="str">
        <f t="shared" si="32"/>
        <v/>
      </c>
      <c r="D685" s="117"/>
      <c r="E685" s="113" t="str">
        <f t="shared" si="30"/>
        <v/>
      </c>
      <c r="F685" s="111" t="str">
        <f t="shared" si="31"/>
        <v/>
      </c>
    </row>
    <row r="686" spans="1:6" x14ac:dyDescent="0.25">
      <c r="A686" s="116"/>
      <c r="B686" s="114"/>
      <c r="C686" s="111" t="str">
        <f t="shared" si="32"/>
        <v/>
      </c>
      <c r="D686" s="117"/>
      <c r="E686" s="113" t="str">
        <f t="shared" si="30"/>
        <v/>
      </c>
      <c r="F686" s="111" t="str">
        <f t="shared" si="31"/>
        <v/>
      </c>
    </row>
    <row r="687" spans="1:6" x14ac:dyDescent="0.25">
      <c r="A687" s="116"/>
      <c r="B687" s="114"/>
      <c r="C687" s="111" t="str">
        <f t="shared" si="32"/>
        <v/>
      </c>
      <c r="D687" s="117"/>
      <c r="E687" s="113" t="str">
        <f t="shared" si="30"/>
        <v/>
      </c>
      <c r="F687" s="111" t="str">
        <f t="shared" si="31"/>
        <v/>
      </c>
    </row>
    <row r="688" spans="1:6" x14ac:dyDescent="0.25">
      <c r="A688" s="116"/>
      <c r="B688" s="114"/>
      <c r="C688" s="111" t="str">
        <f t="shared" si="32"/>
        <v/>
      </c>
      <c r="D688" s="117"/>
      <c r="E688" s="113" t="str">
        <f t="shared" si="30"/>
        <v/>
      </c>
      <c r="F688" s="111" t="str">
        <f t="shared" si="31"/>
        <v/>
      </c>
    </row>
    <row r="689" spans="1:6" x14ac:dyDescent="0.25">
      <c r="A689" s="116"/>
      <c r="B689" s="114"/>
      <c r="C689" s="111" t="str">
        <f t="shared" si="32"/>
        <v/>
      </c>
      <c r="D689" s="117"/>
      <c r="E689" s="113" t="str">
        <f t="shared" si="30"/>
        <v/>
      </c>
      <c r="F689" s="111" t="str">
        <f t="shared" si="31"/>
        <v/>
      </c>
    </row>
    <row r="690" spans="1:6" x14ac:dyDescent="0.25">
      <c r="A690" s="116"/>
      <c r="B690" s="114"/>
      <c r="C690" s="111" t="str">
        <f t="shared" si="32"/>
        <v/>
      </c>
      <c r="D690" s="117"/>
      <c r="E690" s="113" t="str">
        <f t="shared" si="30"/>
        <v/>
      </c>
      <c r="F690" s="111" t="str">
        <f t="shared" si="31"/>
        <v/>
      </c>
    </row>
    <row r="691" spans="1:6" x14ac:dyDescent="0.25">
      <c r="A691" s="116"/>
      <c r="B691" s="114"/>
      <c r="C691" s="111" t="str">
        <f t="shared" si="32"/>
        <v/>
      </c>
      <c r="D691" s="117"/>
      <c r="E691" s="113" t="str">
        <f t="shared" si="30"/>
        <v/>
      </c>
      <c r="F691" s="111" t="str">
        <f t="shared" si="31"/>
        <v/>
      </c>
    </row>
    <row r="692" spans="1:6" x14ac:dyDescent="0.25">
      <c r="A692" s="116"/>
      <c r="B692" s="114"/>
      <c r="C692" s="111" t="str">
        <f t="shared" si="32"/>
        <v/>
      </c>
      <c r="D692" s="117"/>
      <c r="E692" s="113" t="str">
        <f t="shared" si="30"/>
        <v/>
      </c>
      <c r="F692" s="111" t="str">
        <f t="shared" si="31"/>
        <v/>
      </c>
    </row>
    <row r="693" spans="1:6" x14ac:dyDescent="0.25">
      <c r="A693" s="116"/>
      <c r="B693" s="114"/>
      <c r="C693" s="111" t="str">
        <f t="shared" si="32"/>
        <v/>
      </c>
      <c r="D693" s="117"/>
      <c r="E693" s="113" t="str">
        <f t="shared" si="30"/>
        <v/>
      </c>
      <c r="F693" s="111" t="str">
        <f t="shared" si="31"/>
        <v/>
      </c>
    </row>
    <row r="694" spans="1:6" x14ac:dyDescent="0.25">
      <c r="A694" s="116"/>
      <c r="B694" s="114"/>
      <c r="C694" s="111" t="str">
        <f t="shared" si="32"/>
        <v/>
      </c>
      <c r="D694" s="117"/>
      <c r="E694" s="113" t="str">
        <f t="shared" si="30"/>
        <v/>
      </c>
      <c r="F694" s="111" t="str">
        <f t="shared" si="31"/>
        <v/>
      </c>
    </row>
    <row r="695" spans="1:6" x14ac:dyDescent="0.25">
      <c r="A695" s="116"/>
      <c r="B695" s="114"/>
      <c r="C695" s="111" t="str">
        <f t="shared" si="32"/>
        <v/>
      </c>
      <c r="D695" s="117"/>
      <c r="E695" s="113" t="str">
        <f t="shared" si="30"/>
        <v/>
      </c>
      <c r="F695" s="111" t="str">
        <f t="shared" si="31"/>
        <v/>
      </c>
    </row>
    <row r="696" spans="1:6" x14ac:dyDescent="0.25">
      <c r="A696" s="116"/>
      <c r="B696" s="114"/>
      <c r="C696" s="111" t="str">
        <f t="shared" si="32"/>
        <v/>
      </c>
      <c r="D696" s="117"/>
      <c r="E696" s="113" t="str">
        <f t="shared" si="30"/>
        <v/>
      </c>
      <c r="F696" s="111" t="str">
        <f t="shared" si="31"/>
        <v/>
      </c>
    </row>
    <row r="697" spans="1:6" x14ac:dyDescent="0.25">
      <c r="A697" s="116"/>
      <c r="B697" s="114"/>
      <c r="C697" s="111" t="str">
        <f t="shared" si="32"/>
        <v/>
      </c>
      <c r="D697" s="117"/>
      <c r="E697" s="113" t="str">
        <f t="shared" si="30"/>
        <v/>
      </c>
      <c r="F697" s="111" t="str">
        <f t="shared" si="31"/>
        <v/>
      </c>
    </row>
    <row r="698" spans="1:6" x14ac:dyDescent="0.25">
      <c r="A698" s="116"/>
      <c r="B698" s="114"/>
      <c r="C698" s="111" t="str">
        <f t="shared" si="32"/>
        <v/>
      </c>
      <c r="D698" s="117"/>
      <c r="E698" s="113" t="str">
        <f t="shared" si="30"/>
        <v/>
      </c>
      <c r="F698" s="111" t="str">
        <f t="shared" si="31"/>
        <v/>
      </c>
    </row>
    <row r="699" spans="1:6" x14ac:dyDescent="0.25">
      <c r="A699" s="116"/>
      <c r="B699" s="114"/>
      <c r="C699" s="111" t="str">
        <f t="shared" si="32"/>
        <v/>
      </c>
      <c r="D699" s="117"/>
      <c r="E699" s="113" t="str">
        <f t="shared" si="30"/>
        <v/>
      </c>
      <c r="F699" s="111" t="str">
        <f t="shared" si="31"/>
        <v/>
      </c>
    </row>
    <row r="700" spans="1:6" x14ac:dyDescent="0.25">
      <c r="A700" s="116"/>
      <c r="B700" s="114"/>
      <c r="C700" s="111" t="str">
        <f t="shared" si="32"/>
        <v/>
      </c>
      <c r="D700" s="117"/>
      <c r="E700" s="113" t="str">
        <f t="shared" si="30"/>
        <v/>
      </c>
      <c r="F700" s="111" t="str">
        <f t="shared" si="31"/>
        <v/>
      </c>
    </row>
    <row r="701" spans="1:6" x14ac:dyDescent="0.25">
      <c r="A701" s="116"/>
      <c r="B701" s="114"/>
      <c r="C701" s="111" t="str">
        <f t="shared" si="32"/>
        <v/>
      </c>
      <c r="D701" s="117"/>
      <c r="E701" s="113" t="str">
        <f t="shared" si="30"/>
        <v/>
      </c>
      <c r="F701" s="111" t="str">
        <f t="shared" si="31"/>
        <v/>
      </c>
    </row>
    <row r="702" spans="1:6" x14ac:dyDescent="0.25">
      <c r="A702" s="116"/>
      <c r="B702" s="114"/>
      <c r="C702" s="111" t="str">
        <f t="shared" si="32"/>
        <v/>
      </c>
      <c r="D702" s="117"/>
      <c r="E702" s="113" t="str">
        <f t="shared" si="30"/>
        <v/>
      </c>
      <c r="F702" s="111" t="str">
        <f t="shared" si="31"/>
        <v/>
      </c>
    </row>
    <row r="703" spans="1:6" x14ac:dyDescent="0.25">
      <c r="A703" s="116"/>
      <c r="B703" s="114"/>
      <c r="C703" s="111" t="str">
        <f t="shared" si="32"/>
        <v/>
      </c>
      <c r="D703" s="117"/>
      <c r="E703" s="113" t="str">
        <f t="shared" si="30"/>
        <v/>
      </c>
      <c r="F703" s="111" t="str">
        <f t="shared" si="31"/>
        <v/>
      </c>
    </row>
    <row r="704" spans="1:6" x14ac:dyDescent="0.25">
      <c r="A704" s="116"/>
      <c r="B704" s="114"/>
      <c r="C704" s="111" t="str">
        <f t="shared" si="32"/>
        <v/>
      </c>
      <c r="D704" s="117"/>
      <c r="E704" s="113" t="str">
        <f t="shared" si="30"/>
        <v/>
      </c>
      <c r="F704" s="111" t="str">
        <f t="shared" si="31"/>
        <v/>
      </c>
    </row>
    <row r="705" spans="1:6" x14ac:dyDescent="0.25">
      <c r="A705" s="116"/>
      <c r="B705" s="114"/>
      <c r="C705" s="111" t="str">
        <f t="shared" si="32"/>
        <v/>
      </c>
      <c r="D705" s="117"/>
      <c r="E705" s="113" t="str">
        <f t="shared" si="30"/>
        <v/>
      </c>
      <c r="F705" s="111" t="str">
        <f t="shared" si="31"/>
        <v/>
      </c>
    </row>
    <row r="706" spans="1:6" x14ac:dyDescent="0.25">
      <c r="A706" s="116"/>
      <c r="B706" s="114"/>
      <c r="C706" s="111" t="str">
        <f t="shared" si="32"/>
        <v/>
      </c>
      <c r="D706" s="117"/>
      <c r="E706" s="113" t="str">
        <f t="shared" si="30"/>
        <v/>
      </c>
      <c r="F706" s="111" t="str">
        <f t="shared" si="31"/>
        <v/>
      </c>
    </row>
    <row r="707" spans="1:6" x14ac:dyDescent="0.25">
      <c r="A707" s="116"/>
      <c r="B707" s="114"/>
      <c r="C707" s="111" t="str">
        <f t="shared" si="32"/>
        <v/>
      </c>
      <c r="D707" s="117"/>
      <c r="E707" s="113" t="str">
        <f t="shared" ref="E707:E770" si="33">IFERROR(MATCH(A707,$D$2:$D$1000,),"")</f>
        <v/>
      </c>
      <c r="F707" s="111" t="str">
        <f t="shared" ref="F707:F770" si="34">IF(E707&lt;&gt;"",INDEX($D$2:$D$1000,E707,1),"")</f>
        <v/>
      </c>
    </row>
    <row r="708" spans="1:6" x14ac:dyDescent="0.25">
      <c r="A708" s="116"/>
      <c r="B708" s="114"/>
      <c r="C708" s="111" t="str">
        <f t="shared" si="32"/>
        <v/>
      </c>
      <c r="D708" s="117"/>
      <c r="E708" s="113" t="str">
        <f t="shared" si="33"/>
        <v/>
      </c>
      <c r="F708" s="111" t="str">
        <f t="shared" si="34"/>
        <v/>
      </c>
    </row>
    <row r="709" spans="1:6" x14ac:dyDescent="0.25">
      <c r="A709" s="116"/>
      <c r="B709" s="114"/>
      <c r="C709" s="111" t="str">
        <f t="shared" si="32"/>
        <v/>
      </c>
      <c r="D709" s="117"/>
      <c r="E709" s="113" t="str">
        <f t="shared" si="33"/>
        <v/>
      </c>
      <c r="F709" s="111" t="str">
        <f t="shared" si="34"/>
        <v/>
      </c>
    </row>
    <row r="710" spans="1:6" x14ac:dyDescent="0.25">
      <c r="A710" s="116"/>
      <c r="B710" s="114"/>
      <c r="C710" s="111" t="str">
        <f t="shared" si="32"/>
        <v/>
      </c>
      <c r="D710" s="117"/>
      <c r="E710" s="113" t="str">
        <f t="shared" si="33"/>
        <v/>
      </c>
      <c r="F710" s="111" t="str">
        <f t="shared" si="34"/>
        <v/>
      </c>
    </row>
    <row r="711" spans="1:6" x14ac:dyDescent="0.25">
      <c r="A711" s="116"/>
      <c r="B711" s="114"/>
      <c r="C711" s="111" t="str">
        <f t="shared" si="32"/>
        <v/>
      </c>
      <c r="D711" s="117"/>
      <c r="E711" s="113" t="str">
        <f t="shared" si="33"/>
        <v/>
      </c>
      <c r="F711" s="111" t="str">
        <f t="shared" si="34"/>
        <v/>
      </c>
    </row>
    <row r="712" spans="1:6" x14ac:dyDescent="0.25">
      <c r="A712" s="116"/>
      <c r="B712" s="114"/>
      <c r="C712" s="111" t="str">
        <f t="shared" si="32"/>
        <v/>
      </c>
      <c r="D712" s="117"/>
      <c r="E712" s="113" t="str">
        <f t="shared" si="33"/>
        <v/>
      </c>
      <c r="F712" s="111" t="str">
        <f t="shared" si="34"/>
        <v/>
      </c>
    </row>
    <row r="713" spans="1:6" x14ac:dyDescent="0.25">
      <c r="A713" s="116"/>
      <c r="B713" s="114"/>
      <c r="C713" s="111" t="str">
        <f t="shared" si="32"/>
        <v/>
      </c>
      <c r="D713" s="117"/>
      <c r="E713" s="113" t="str">
        <f t="shared" si="33"/>
        <v/>
      </c>
      <c r="F713" s="111" t="str">
        <f t="shared" si="34"/>
        <v/>
      </c>
    </row>
    <row r="714" spans="1:6" x14ac:dyDescent="0.25">
      <c r="A714" s="116"/>
      <c r="B714" s="114"/>
      <c r="C714" s="111" t="str">
        <f t="shared" ref="C714:C777" si="35">IF(ISNA(VLOOKUP(B714,$A$1:$A$1000,1,FALSE)),"","Yes")</f>
        <v/>
      </c>
      <c r="D714" s="117"/>
      <c r="E714" s="113" t="str">
        <f t="shared" si="33"/>
        <v/>
      </c>
      <c r="F714" s="111" t="str">
        <f t="shared" si="34"/>
        <v/>
      </c>
    </row>
    <row r="715" spans="1:6" x14ac:dyDescent="0.25">
      <c r="A715" s="116"/>
      <c r="B715" s="114"/>
      <c r="C715" s="111" t="str">
        <f t="shared" si="35"/>
        <v/>
      </c>
      <c r="D715" s="117"/>
      <c r="E715" s="113" t="str">
        <f t="shared" si="33"/>
        <v/>
      </c>
      <c r="F715" s="111" t="str">
        <f t="shared" si="34"/>
        <v/>
      </c>
    </row>
    <row r="716" spans="1:6" x14ac:dyDescent="0.25">
      <c r="A716" s="116"/>
      <c r="B716" s="114"/>
      <c r="C716" s="111" t="str">
        <f t="shared" si="35"/>
        <v/>
      </c>
      <c r="D716" s="117"/>
      <c r="E716" s="113" t="str">
        <f t="shared" si="33"/>
        <v/>
      </c>
      <c r="F716" s="111" t="str">
        <f t="shared" si="34"/>
        <v/>
      </c>
    </row>
    <row r="717" spans="1:6" x14ac:dyDescent="0.25">
      <c r="A717" s="116"/>
      <c r="B717" s="114"/>
      <c r="C717" s="111" t="str">
        <f t="shared" si="35"/>
        <v/>
      </c>
      <c r="D717" s="117"/>
      <c r="E717" s="113" t="str">
        <f t="shared" si="33"/>
        <v/>
      </c>
      <c r="F717" s="111" t="str">
        <f t="shared" si="34"/>
        <v/>
      </c>
    </row>
    <row r="718" spans="1:6" x14ac:dyDescent="0.25">
      <c r="A718" s="116"/>
      <c r="B718" s="114"/>
      <c r="C718" s="111" t="str">
        <f t="shared" si="35"/>
        <v/>
      </c>
      <c r="D718" s="117"/>
      <c r="E718" s="113" t="str">
        <f t="shared" si="33"/>
        <v/>
      </c>
      <c r="F718" s="111" t="str">
        <f t="shared" si="34"/>
        <v/>
      </c>
    </row>
    <row r="719" spans="1:6" x14ac:dyDescent="0.25">
      <c r="A719" s="116"/>
      <c r="B719" s="114"/>
      <c r="C719" s="111" t="str">
        <f t="shared" si="35"/>
        <v/>
      </c>
      <c r="D719" s="117"/>
      <c r="E719" s="113" t="str">
        <f t="shared" si="33"/>
        <v/>
      </c>
      <c r="F719" s="111" t="str">
        <f t="shared" si="34"/>
        <v/>
      </c>
    </row>
    <row r="720" spans="1:6" x14ac:dyDescent="0.25">
      <c r="A720" s="116"/>
      <c r="B720" s="114"/>
      <c r="C720" s="111" t="str">
        <f t="shared" si="35"/>
        <v/>
      </c>
      <c r="D720" s="117"/>
      <c r="E720" s="113" t="str">
        <f t="shared" si="33"/>
        <v/>
      </c>
      <c r="F720" s="111" t="str">
        <f t="shared" si="34"/>
        <v/>
      </c>
    </row>
    <row r="721" spans="1:6" x14ac:dyDescent="0.25">
      <c r="A721" s="116"/>
      <c r="B721" s="114"/>
      <c r="C721" s="111" t="str">
        <f t="shared" si="35"/>
        <v/>
      </c>
      <c r="D721" s="117"/>
      <c r="E721" s="113" t="str">
        <f t="shared" si="33"/>
        <v/>
      </c>
      <c r="F721" s="111" t="str">
        <f t="shared" si="34"/>
        <v/>
      </c>
    </row>
    <row r="722" spans="1:6" x14ac:dyDescent="0.25">
      <c r="A722" s="116"/>
      <c r="B722" s="114"/>
      <c r="C722" s="111" t="str">
        <f t="shared" si="35"/>
        <v/>
      </c>
      <c r="D722" s="117"/>
      <c r="E722" s="113" t="str">
        <f t="shared" si="33"/>
        <v/>
      </c>
      <c r="F722" s="111" t="str">
        <f t="shared" si="34"/>
        <v/>
      </c>
    </row>
    <row r="723" spans="1:6" x14ac:dyDescent="0.25">
      <c r="A723" s="116"/>
      <c r="B723" s="114"/>
      <c r="C723" s="111" t="str">
        <f t="shared" si="35"/>
        <v/>
      </c>
      <c r="D723" s="117"/>
      <c r="E723" s="113" t="str">
        <f t="shared" si="33"/>
        <v/>
      </c>
      <c r="F723" s="111" t="str">
        <f t="shared" si="34"/>
        <v/>
      </c>
    </row>
    <row r="724" spans="1:6" x14ac:dyDescent="0.25">
      <c r="A724" s="116"/>
      <c r="B724" s="114"/>
      <c r="C724" s="111" t="str">
        <f t="shared" si="35"/>
        <v/>
      </c>
      <c r="D724" s="117"/>
      <c r="E724" s="113" t="str">
        <f t="shared" si="33"/>
        <v/>
      </c>
      <c r="F724" s="111" t="str">
        <f t="shared" si="34"/>
        <v/>
      </c>
    </row>
    <row r="725" spans="1:6" x14ac:dyDescent="0.25">
      <c r="A725" s="116"/>
      <c r="B725" s="114"/>
      <c r="C725" s="111" t="str">
        <f t="shared" si="35"/>
        <v/>
      </c>
      <c r="D725" s="117"/>
      <c r="E725" s="113" t="str">
        <f t="shared" si="33"/>
        <v/>
      </c>
      <c r="F725" s="111" t="str">
        <f t="shared" si="34"/>
        <v/>
      </c>
    </row>
    <row r="726" spans="1:6" x14ac:dyDescent="0.25">
      <c r="A726" s="116"/>
      <c r="B726" s="114"/>
      <c r="C726" s="111" t="str">
        <f t="shared" si="35"/>
        <v/>
      </c>
      <c r="D726" s="117"/>
      <c r="E726" s="113" t="str">
        <f t="shared" si="33"/>
        <v/>
      </c>
      <c r="F726" s="111" t="str">
        <f t="shared" si="34"/>
        <v/>
      </c>
    </row>
    <row r="727" spans="1:6" x14ac:dyDescent="0.25">
      <c r="A727" s="116"/>
      <c r="B727" s="114"/>
      <c r="C727" s="111" t="str">
        <f t="shared" si="35"/>
        <v/>
      </c>
      <c r="D727" s="117"/>
      <c r="E727" s="113" t="str">
        <f t="shared" si="33"/>
        <v/>
      </c>
      <c r="F727" s="111" t="str">
        <f t="shared" si="34"/>
        <v/>
      </c>
    </row>
    <row r="728" spans="1:6" x14ac:dyDescent="0.25">
      <c r="A728" s="116"/>
      <c r="B728" s="114"/>
      <c r="C728" s="111" t="str">
        <f t="shared" si="35"/>
        <v/>
      </c>
      <c r="D728" s="117"/>
      <c r="E728" s="113" t="str">
        <f t="shared" si="33"/>
        <v/>
      </c>
      <c r="F728" s="111" t="str">
        <f t="shared" si="34"/>
        <v/>
      </c>
    </row>
    <row r="729" spans="1:6" x14ac:dyDescent="0.25">
      <c r="A729" s="116"/>
      <c r="B729" s="114"/>
      <c r="C729" s="111" t="str">
        <f t="shared" si="35"/>
        <v/>
      </c>
      <c r="D729" s="117"/>
      <c r="E729" s="113" t="str">
        <f t="shared" si="33"/>
        <v/>
      </c>
      <c r="F729" s="111" t="str">
        <f t="shared" si="34"/>
        <v/>
      </c>
    </row>
    <row r="730" spans="1:6" x14ac:dyDescent="0.25">
      <c r="A730" s="116"/>
      <c r="B730" s="114"/>
      <c r="C730" s="111" t="str">
        <f t="shared" si="35"/>
        <v/>
      </c>
      <c r="D730" s="117"/>
      <c r="E730" s="113" t="str">
        <f t="shared" si="33"/>
        <v/>
      </c>
      <c r="F730" s="111" t="str">
        <f t="shared" si="34"/>
        <v/>
      </c>
    </row>
    <row r="731" spans="1:6" x14ac:dyDescent="0.25">
      <c r="A731" s="116"/>
      <c r="B731" s="114"/>
      <c r="C731" s="111" t="str">
        <f t="shared" si="35"/>
        <v/>
      </c>
      <c r="D731" s="117"/>
      <c r="E731" s="113" t="str">
        <f t="shared" si="33"/>
        <v/>
      </c>
      <c r="F731" s="111" t="str">
        <f t="shared" si="34"/>
        <v/>
      </c>
    </row>
    <row r="732" spans="1:6" x14ac:dyDescent="0.25">
      <c r="A732" s="116"/>
      <c r="B732" s="114"/>
      <c r="C732" s="111" t="str">
        <f t="shared" si="35"/>
        <v/>
      </c>
      <c r="D732" s="117"/>
      <c r="E732" s="113" t="str">
        <f t="shared" si="33"/>
        <v/>
      </c>
      <c r="F732" s="111" t="str">
        <f t="shared" si="34"/>
        <v/>
      </c>
    </row>
    <row r="733" spans="1:6" x14ac:dyDescent="0.25">
      <c r="A733" s="116"/>
      <c r="B733" s="114"/>
      <c r="C733" s="111" t="str">
        <f t="shared" si="35"/>
        <v/>
      </c>
      <c r="D733" s="117"/>
      <c r="E733" s="113" t="str">
        <f t="shared" si="33"/>
        <v/>
      </c>
      <c r="F733" s="111" t="str">
        <f t="shared" si="34"/>
        <v/>
      </c>
    </row>
    <row r="734" spans="1:6" x14ac:dyDescent="0.25">
      <c r="A734" s="116"/>
      <c r="B734" s="114"/>
      <c r="C734" s="111" t="str">
        <f t="shared" si="35"/>
        <v/>
      </c>
      <c r="D734" s="117"/>
      <c r="E734" s="113" t="str">
        <f t="shared" si="33"/>
        <v/>
      </c>
      <c r="F734" s="111" t="str">
        <f t="shared" si="34"/>
        <v/>
      </c>
    </row>
    <row r="735" spans="1:6" x14ac:dyDescent="0.25">
      <c r="A735" s="116"/>
      <c r="B735" s="114"/>
      <c r="C735" s="111" t="str">
        <f t="shared" si="35"/>
        <v/>
      </c>
      <c r="D735" s="117"/>
      <c r="E735" s="113" t="str">
        <f t="shared" si="33"/>
        <v/>
      </c>
      <c r="F735" s="111" t="str">
        <f t="shared" si="34"/>
        <v/>
      </c>
    </row>
    <row r="736" spans="1:6" x14ac:dyDescent="0.25">
      <c r="A736" s="116"/>
      <c r="B736" s="114"/>
      <c r="C736" s="111" t="str">
        <f t="shared" si="35"/>
        <v/>
      </c>
      <c r="D736" s="117"/>
      <c r="E736" s="113" t="str">
        <f t="shared" si="33"/>
        <v/>
      </c>
      <c r="F736" s="111" t="str">
        <f t="shared" si="34"/>
        <v/>
      </c>
    </row>
    <row r="737" spans="1:6" x14ac:dyDescent="0.25">
      <c r="A737" s="116"/>
      <c r="B737" s="114"/>
      <c r="C737" s="111" t="str">
        <f t="shared" si="35"/>
        <v/>
      </c>
      <c r="D737" s="117"/>
      <c r="E737" s="113" t="str">
        <f t="shared" si="33"/>
        <v/>
      </c>
      <c r="F737" s="111" t="str">
        <f t="shared" si="34"/>
        <v/>
      </c>
    </row>
    <row r="738" spans="1:6" x14ac:dyDescent="0.25">
      <c r="A738" s="116"/>
      <c r="B738" s="114"/>
      <c r="C738" s="111" t="str">
        <f t="shared" si="35"/>
        <v/>
      </c>
      <c r="D738" s="117"/>
      <c r="E738" s="113" t="str">
        <f t="shared" si="33"/>
        <v/>
      </c>
      <c r="F738" s="111" t="str">
        <f t="shared" si="34"/>
        <v/>
      </c>
    </row>
    <row r="739" spans="1:6" x14ac:dyDescent="0.25">
      <c r="A739" s="116"/>
      <c r="B739" s="114"/>
      <c r="C739" s="111" t="str">
        <f t="shared" si="35"/>
        <v/>
      </c>
      <c r="D739" s="117"/>
      <c r="E739" s="113" t="str">
        <f t="shared" si="33"/>
        <v/>
      </c>
      <c r="F739" s="111" t="str">
        <f t="shared" si="34"/>
        <v/>
      </c>
    </row>
    <row r="740" spans="1:6" x14ac:dyDescent="0.25">
      <c r="A740" s="116"/>
      <c r="B740" s="114"/>
      <c r="C740" s="111" t="str">
        <f t="shared" si="35"/>
        <v/>
      </c>
      <c r="D740" s="117"/>
      <c r="E740" s="113" t="str">
        <f t="shared" si="33"/>
        <v/>
      </c>
      <c r="F740" s="111" t="str">
        <f t="shared" si="34"/>
        <v/>
      </c>
    </row>
    <row r="741" spans="1:6" x14ac:dyDescent="0.25">
      <c r="A741" s="116"/>
      <c r="B741" s="114"/>
      <c r="C741" s="111" t="str">
        <f t="shared" si="35"/>
        <v/>
      </c>
      <c r="D741" s="117"/>
      <c r="E741" s="113" t="str">
        <f t="shared" si="33"/>
        <v/>
      </c>
      <c r="F741" s="111" t="str">
        <f t="shared" si="34"/>
        <v/>
      </c>
    </row>
    <row r="742" spans="1:6" x14ac:dyDescent="0.25">
      <c r="A742" s="116"/>
      <c r="B742" s="114"/>
      <c r="C742" s="111" t="str">
        <f t="shared" si="35"/>
        <v/>
      </c>
      <c r="D742" s="117"/>
      <c r="E742" s="113" t="str">
        <f t="shared" si="33"/>
        <v/>
      </c>
      <c r="F742" s="111" t="str">
        <f t="shared" si="34"/>
        <v/>
      </c>
    </row>
    <row r="743" spans="1:6" x14ac:dyDescent="0.25">
      <c r="A743" s="116"/>
      <c r="B743" s="114"/>
      <c r="C743" s="111" t="str">
        <f t="shared" si="35"/>
        <v/>
      </c>
      <c r="D743" s="117"/>
      <c r="E743" s="113" t="str">
        <f t="shared" si="33"/>
        <v/>
      </c>
      <c r="F743" s="111" t="str">
        <f t="shared" si="34"/>
        <v/>
      </c>
    </row>
    <row r="744" spans="1:6" x14ac:dyDescent="0.25">
      <c r="A744" s="116"/>
      <c r="B744" s="114"/>
      <c r="C744" s="111" t="str">
        <f t="shared" si="35"/>
        <v/>
      </c>
      <c r="D744" s="117"/>
      <c r="E744" s="113" t="str">
        <f t="shared" si="33"/>
        <v/>
      </c>
      <c r="F744" s="111" t="str">
        <f t="shared" si="34"/>
        <v/>
      </c>
    </row>
    <row r="745" spans="1:6" x14ac:dyDescent="0.25">
      <c r="A745" s="116"/>
      <c r="B745" s="114"/>
      <c r="C745" s="111" t="str">
        <f t="shared" si="35"/>
        <v/>
      </c>
      <c r="D745" s="117"/>
      <c r="E745" s="113" t="str">
        <f t="shared" si="33"/>
        <v/>
      </c>
      <c r="F745" s="111" t="str">
        <f t="shared" si="34"/>
        <v/>
      </c>
    </row>
    <row r="746" spans="1:6" x14ac:dyDescent="0.25">
      <c r="A746" s="116"/>
      <c r="B746" s="114"/>
      <c r="C746" s="111" t="str">
        <f t="shared" si="35"/>
        <v/>
      </c>
      <c r="D746" s="117"/>
      <c r="E746" s="113" t="str">
        <f t="shared" si="33"/>
        <v/>
      </c>
      <c r="F746" s="111" t="str">
        <f t="shared" si="34"/>
        <v/>
      </c>
    </row>
    <row r="747" spans="1:6" x14ac:dyDescent="0.25">
      <c r="A747" s="116"/>
      <c r="B747" s="114"/>
      <c r="C747" s="111" t="str">
        <f t="shared" si="35"/>
        <v/>
      </c>
      <c r="D747" s="117"/>
      <c r="E747" s="113" t="str">
        <f t="shared" si="33"/>
        <v/>
      </c>
      <c r="F747" s="111" t="str">
        <f t="shared" si="34"/>
        <v/>
      </c>
    </row>
    <row r="748" spans="1:6" x14ac:dyDescent="0.25">
      <c r="A748" s="116"/>
      <c r="B748" s="114"/>
      <c r="C748" s="111" t="str">
        <f t="shared" si="35"/>
        <v/>
      </c>
      <c r="D748" s="117"/>
      <c r="E748" s="113" t="str">
        <f t="shared" si="33"/>
        <v/>
      </c>
      <c r="F748" s="111" t="str">
        <f t="shared" si="34"/>
        <v/>
      </c>
    </row>
    <row r="749" spans="1:6" x14ac:dyDescent="0.25">
      <c r="A749" s="116"/>
      <c r="B749" s="114"/>
      <c r="C749" s="111" t="str">
        <f t="shared" si="35"/>
        <v/>
      </c>
      <c r="D749" s="117"/>
      <c r="E749" s="113" t="str">
        <f t="shared" si="33"/>
        <v/>
      </c>
      <c r="F749" s="111" t="str">
        <f t="shared" si="34"/>
        <v/>
      </c>
    </row>
    <row r="750" spans="1:6" x14ac:dyDescent="0.25">
      <c r="A750" s="116"/>
      <c r="B750" s="114"/>
      <c r="C750" s="111" t="str">
        <f t="shared" si="35"/>
        <v/>
      </c>
      <c r="D750" s="117"/>
      <c r="E750" s="113" t="str">
        <f t="shared" si="33"/>
        <v/>
      </c>
      <c r="F750" s="111" t="str">
        <f t="shared" si="34"/>
        <v/>
      </c>
    </row>
    <row r="751" spans="1:6" x14ac:dyDescent="0.25">
      <c r="A751" s="116"/>
      <c r="B751" s="114"/>
      <c r="C751" s="111" t="str">
        <f t="shared" si="35"/>
        <v/>
      </c>
      <c r="D751" s="117"/>
      <c r="E751" s="113" t="str">
        <f t="shared" si="33"/>
        <v/>
      </c>
      <c r="F751" s="111" t="str">
        <f t="shared" si="34"/>
        <v/>
      </c>
    </row>
    <row r="752" spans="1:6" x14ac:dyDescent="0.25">
      <c r="A752" s="116"/>
      <c r="B752" s="114"/>
      <c r="C752" s="111" t="str">
        <f t="shared" si="35"/>
        <v/>
      </c>
      <c r="D752" s="117"/>
      <c r="E752" s="113" t="str">
        <f t="shared" si="33"/>
        <v/>
      </c>
      <c r="F752" s="111" t="str">
        <f t="shared" si="34"/>
        <v/>
      </c>
    </row>
    <row r="753" spans="1:6" x14ac:dyDescent="0.25">
      <c r="A753" s="116"/>
      <c r="B753" s="114"/>
      <c r="C753" s="111" t="str">
        <f t="shared" si="35"/>
        <v/>
      </c>
      <c r="D753" s="117"/>
      <c r="E753" s="113" t="str">
        <f t="shared" si="33"/>
        <v/>
      </c>
      <c r="F753" s="111" t="str">
        <f t="shared" si="34"/>
        <v/>
      </c>
    </row>
    <row r="754" spans="1:6" x14ac:dyDescent="0.25">
      <c r="A754" s="116"/>
      <c r="B754" s="114"/>
      <c r="C754" s="111" t="str">
        <f t="shared" si="35"/>
        <v/>
      </c>
      <c r="D754" s="117"/>
      <c r="E754" s="113" t="str">
        <f t="shared" si="33"/>
        <v/>
      </c>
      <c r="F754" s="111" t="str">
        <f t="shared" si="34"/>
        <v/>
      </c>
    </row>
    <row r="755" spans="1:6" x14ac:dyDescent="0.25">
      <c r="A755" s="116"/>
      <c r="B755" s="114"/>
      <c r="C755" s="111" t="str">
        <f t="shared" si="35"/>
        <v/>
      </c>
      <c r="D755" s="117"/>
      <c r="E755" s="113" t="str">
        <f t="shared" si="33"/>
        <v/>
      </c>
      <c r="F755" s="111" t="str">
        <f t="shared" si="34"/>
        <v/>
      </c>
    </row>
    <row r="756" spans="1:6" x14ac:dyDescent="0.25">
      <c r="A756" s="116"/>
      <c r="B756" s="114"/>
      <c r="C756" s="111" t="str">
        <f t="shared" si="35"/>
        <v/>
      </c>
      <c r="D756" s="117"/>
      <c r="E756" s="113" t="str">
        <f t="shared" si="33"/>
        <v/>
      </c>
      <c r="F756" s="111" t="str">
        <f t="shared" si="34"/>
        <v/>
      </c>
    </row>
    <row r="757" spans="1:6" x14ac:dyDescent="0.25">
      <c r="A757" s="116"/>
      <c r="B757" s="114"/>
      <c r="C757" s="111" t="str">
        <f t="shared" si="35"/>
        <v/>
      </c>
      <c r="D757" s="117"/>
      <c r="E757" s="113" t="str">
        <f t="shared" si="33"/>
        <v/>
      </c>
      <c r="F757" s="111" t="str">
        <f t="shared" si="34"/>
        <v/>
      </c>
    </row>
    <row r="758" spans="1:6" x14ac:dyDescent="0.25">
      <c r="A758" s="116"/>
      <c r="B758" s="114"/>
      <c r="C758" s="111" t="str">
        <f t="shared" si="35"/>
        <v/>
      </c>
      <c r="D758" s="117"/>
      <c r="E758" s="113" t="str">
        <f t="shared" si="33"/>
        <v/>
      </c>
      <c r="F758" s="111" t="str">
        <f t="shared" si="34"/>
        <v/>
      </c>
    </row>
    <row r="759" spans="1:6" x14ac:dyDescent="0.25">
      <c r="A759" s="116"/>
      <c r="B759" s="114"/>
      <c r="C759" s="111" t="str">
        <f t="shared" si="35"/>
        <v/>
      </c>
      <c r="D759" s="117"/>
      <c r="E759" s="113" t="str">
        <f t="shared" si="33"/>
        <v/>
      </c>
      <c r="F759" s="111" t="str">
        <f t="shared" si="34"/>
        <v/>
      </c>
    </row>
    <row r="760" spans="1:6" x14ac:dyDescent="0.25">
      <c r="A760" s="116"/>
      <c r="B760" s="114"/>
      <c r="C760" s="111" t="str">
        <f t="shared" si="35"/>
        <v/>
      </c>
      <c r="D760" s="117"/>
      <c r="E760" s="113" t="str">
        <f t="shared" si="33"/>
        <v/>
      </c>
      <c r="F760" s="111" t="str">
        <f t="shared" si="34"/>
        <v/>
      </c>
    </row>
    <row r="761" spans="1:6" x14ac:dyDescent="0.25">
      <c r="A761" s="116"/>
      <c r="B761" s="114"/>
      <c r="C761" s="111" t="str">
        <f t="shared" si="35"/>
        <v/>
      </c>
      <c r="D761" s="117"/>
      <c r="E761" s="113" t="str">
        <f t="shared" si="33"/>
        <v/>
      </c>
      <c r="F761" s="111" t="str">
        <f t="shared" si="34"/>
        <v/>
      </c>
    </row>
    <row r="762" spans="1:6" x14ac:dyDescent="0.25">
      <c r="A762" s="116"/>
      <c r="B762" s="114"/>
      <c r="C762" s="111" t="str">
        <f t="shared" si="35"/>
        <v/>
      </c>
      <c r="D762" s="117"/>
      <c r="E762" s="113" t="str">
        <f t="shared" si="33"/>
        <v/>
      </c>
      <c r="F762" s="111" t="str">
        <f t="shared" si="34"/>
        <v/>
      </c>
    </row>
    <row r="763" spans="1:6" x14ac:dyDescent="0.25">
      <c r="A763" s="116"/>
      <c r="B763" s="114"/>
      <c r="C763" s="111" t="str">
        <f t="shared" si="35"/>
        <v/>
      </c>
      <c r="D763" s="117"/>
      <c r="E763" s="113" t="str">
        <f t="shared" si="33"/>
        <v/>
      </c>
      <c r="F763" s="111" t="str">
        <f t="shared" si="34"/>
        <v/>
      </c>
    </row>
    <row r="764" spans="1:6" x14ac:dyDescent="0.25">
      <c r="A764" s="116"/>
      <c r="B764" s="114"/>
      <c r="C764" s="111" t="str">
        <f t="shared" si="35"/>
        <v/>
      </c>
      <c r="D764" s="117"/>
      <c r="E764" s="113" t="str">
        <f t="shared" si="33"/>
        <v/>
      </c>
      <c r="F764" s="111" t="str">
        <f t="shared" si="34"/>
        <v/>
      </c>
    </row>
    <row r="765" spans="1:6" x14ac:dyDescent="0.25">
      <c r="A765" s="116"/>
      <c r="B765" s="114"/>
      <c r="C765" s="111" t="str">
        <f t="shared" si="35"/>
        <v/>
      </c>
      <c r="D765" s="117"/>
      <c r="E765" s="113" t="str">
        <f t="shared" si="33"/>
        <v/>
      </c>
      <c r="F765" s="111" t="str">
        <f t="shared" si="34"/>
        <v/>
      </c>
    </row>
    <row r="766" spans="1:6" x14ac:dyDescent="0.25">
      <c r="A766" s="116"/>
      <c r="B766" s="114"/>
      <c r="C766" s="111" t="str">
        <f t="shared" si="35"/>
        <v/>
      </c>
      <c r="D766" s="117"/>
      <c r="E766" s="113" t="str">
        <f t="shared" si="33"/>
        <v/>
      </c>
      <c r="F766" s="111" t="str">
        <f t="shared" si="34"/>
        <v/>
      </c>
    </row>
    <row r="767" spans="1:6" x14ac:dyDescent="0.25">
      <c r="A767" s="116"/>
      <c r="B767" s="114"/>
      <c r="C767" s="111" t="str">
        <f t="shared" si="35"/>
        <v/>
      </c>
      <c r="D767" s="117"/>
      <c r="E767" s="113" t="str">
        <f t="shared" si="33"/>
        <v/>
      </c>
      <c r="F767" s="111" t="str">
        <f t="shared" si="34"/>
        <v/>
      </c>
    </row>
    <row r="768" spans="1:6" x14ac:dyDescent="0.25">
      <c r="A768" s="116"/>
      <c r="B768" s="114"/>
      <c r="C768" s="111" t="str">
        <f t="shared" si="35"/>
        <v/>
      </c>
      <c r="D768" s="117"/>
      <c r="E768" s="113" t="str">
        <f t="shared" si="33"/>
        <v/>
      </c>
      <c r="F768" s="111" t="str">
        <f t="shared" si="34"/>
        <v/>
      </c>
    </row>
    <row r="769" spans="1:6" x14ac:dyDescent="0.25">
      <c r="A769" s="116"/>
      <c r="B769" s="114"/>
      <c r="C769" s="111" t="str">
        <f t="shared" si="35"/>
        <v/>
      </c>
      <c r="D769" s="117"/>
      <c r="E769" s="113" t="str">
        <f t="shared" si="33"/>
        <v/>
      </c>
      <c r="F769" s="111" t="str">
        <f t="shared" si="34"/>
        <v/>
      </c>
    </row>
    <row r="770" spans="1:6" x14ac:dyDescent="0.25">
      <c r="A770" s="116"/>
      <c r="B770" s="114"/>
      <c r="C770" s="111" t="str">
        <f t="shared" si="35"/>
        <v/>
      </c>
      <c r="D770" s="117"/>
      <c r="E770" s="113" t="str">
        <f t="shared" si="33"/>
        <v/>
      </c>
      <c r="F770" s="111" t="str">
        <f t="shared" si="34"/>
        <v/>
      </c>
    </row>
    <row r="771" spans="1:6" x14ac:dyDescent="0.25">
      <c r="A771" s="116"/>
      <c r="B771" s="114"/>
      <c r="C771" s="111" t="str">
        <f t="shared" si="35"/>
        <v/>
      </c>
      <c r="D771" s="117"/>
      <c r="E771" s="113" t="str">
        <f t="shared" ref="E771:E834" si="36">IFERROR(MATCH(A771,$D$2:$D$1000,),"")</f>
        <v/>
      </c>
      <c r="F771" s="111" t="str">
        <f t="shared" ref="F771:F834" si="37">IF(E771&lt;&gt;"",INDEX($D$2:$D$1000,E771,1),"")</f>
        <v/>
      </c>
    </row>
    <row r="772" spans="1:6" x14ac:dyDescent="0.25">
      <c r="A772" s="116"/>
      <c r="B772" s="114"/>
      <c r="C772" s="111" t="str">
        <f t="shared" si="35"/>
        <v/>
      </c>
      <c r="D772" s="117"/>
      <c r="E772" s="113" t="str">
        <f t="shared" si="36"/>
        <v/>
      </c>
      <c r="F772" s="111" t="str">
        <f t="shared" si="37"/>
        <v/>
      </c>
    </row>
    <row r="773" spans="1:6" x14ac:dyDescent="0.25">
      <c r="A773" s="116"/>
      <c r="B773" s="114"/>
      <c r="C773" s="111" t="str">
        <f t="shared" si="35"/>
        <v/>
      </c>
      <c r="D773" s="117"/>
      <c r="E773" s="113" t="str">
        <f t="shared" si="36"/>
        <v/>
      </c>
      <c r="F773" s="111" t="str">
        <f t="shared" si="37"/>
        <v/>
      </c>
    </row>
    <row r="774" spans="1:6" x14ac:dyDescent="0.25">
      <c r="A774" s="116"/>
      <c r="B774" s="114"/>
      <c r="C774" s="111" t="str">
        <f t="shared" si="35"/>
        <v/>
      </c>
      <c r="D774" s="117"/>
      <c r="E774" s="113" t="str">
        <f t="shared" si="36"/>
        <v/>
      </c>
      <c r="F774" s="111" t="str">
        <f t="shared" si="37"/>
        <v/>
      </c>
    </row>
    <row r="775" spans="1:6" x14ac:dyDescent="0.25">
      <c r="A775" s="116"/>
      <c r="B775" s="114"/>
      <c r="C775" s="111" t="str">
        <f t="shared" si="35"/>
        <v/>
      </c>
      <c r="D775" s="117"/>
      <c r="E775" s="113" t="str">
        <f t="shared" si="36"/>
        <v/>
      </c>
      <c r="F775" s="111" t="str">
        <f t="shared" si="37"/>
        <v/>
      </c>
    </row>
    <row r="776" spans="1:6" x14ac:dyDescent="0.25">
      <c r="A776" s="116"/>
      <c r="B776" s="114"/>
      <c r="C776" s="111" t="str">
        <f t="shared" si="35"/>
        <v/>
      </c>
      <c r="D776" s="117"/>
      <c r="E776" s="113" t="str">
        <f t="shared" si="36"/>
        <v/>
      </c>
      <c r="F776" s="111" t="str">
        <f t="shared" si="37"/>
        <v/>
      </c>
    </row>
    <row r="777" spans="1:6" x14ac:dyDescent="0.25">
      <c r="A777" s="116"/>
      <c r="B777" s="114"/>
      <c r="C777" s="111" t="str">
        <f t="shared" si="35"/>
        <v/>
      </c>
      <c r="D777" s="117"/>
      <c r="E777" s="113" t="str">
        <f t="shared" si="36"/>
        <v/>
      </c>
      <c r="F777" s="111" t="str">
        <f t="shared" si="37"/>
        <v/>
      </c>
    </row>
    <row r="778" spans="1:6" x14ac:dyDescent="0.25">
      <c r="A778" s="116"/>
      <c r="B778" s="114"/>
      <c r="C778" s="111" t="str">
        <f t="shared" ref="C778:C841" si="38">IF(ISNA(VLOOKUP(B778,$A$1:$A$1000,1,FALSE)),"","Yes")</f>
        <v/>
      </c>
      <c r="D778" s="117"/>
      <c r="E778" s="113" t="str">
        <f t="shared" si="36"/>
        <v/>
      </c>
      <c r="F778" s="111" t="str">
        <f t="shared" si="37"/>
        <v/>
      </c>
    </row>
    <row r="779" spans="1:6" x14ac:dyDescent="0.25">
      <c r="A779" s="116"/>
      <c r="B779" s="114"/>
      <c r="C779" s="111" t="str">
        <f t="shared" si="38"/>
        <v/>
      </c>
      <c r="D779" s="117"/>
      <c r="E779" s="113" t="str">
        <f t="shared" si="36"/>
        <v/>
      </c>
      <c r="F779" s="111" t="str">
        <f t="shared" si="37"/>
        <v/>
      </c>
    </row>
    <row r="780" spans="1:6" x14ac:dyDescent="0.25">
      <c r="A780" s="116"/>
      <c r="B780" s="114"/>
      <c r="C780" s="111" t="str">
        <f t="shared" si="38"/>
        <v/>
      </c>
      <c r="D780" s="117"/>
      <c r="E780" s="113" t="str">
        <f t="shared" si="36"/>
        <v/>
      </c>
      <c r="F780" s="111" t="str">
        <f t="shared" si="37"/>
        <v/>
      </c>
    </row>
    <row r="781" spans="1:6" x14ac:dyDescent="0.25">
      <c r="A781" s="116"/>
      <c r="B781" s="114"/>
      <c r="C781" s="111" t="str">
        <f t="shared" si="38"/>
        <v/>
      </c>
      <c r="D781" s="117"/>
      <c r="E781" s="113" t="str">
        <f t="shared" si="36"/>
        <v/>
      </c>
      <c r="F781" s="111" t="str">
        <f t="shared" si="37"/>
        <v/>
      </c>
    </row>
    <row r="782" spans="1:6" x14ac:dyDescent="0.25">
      <c r="A782" s="116"/>
      <c r="B782" s="114"/>
      <c r="C782" s="111" t="str">
        <f t="shared" si="38"/>
        <v/>
      </c>
      <c r="D782" s="117"/>
      <c r="E782" s="113" t="str">
        <f t="shared" si="36"/>
        <v/>
      </c>
      <c r="F782" s="111" t="str">
        <f t="shared" si="37"/>
        <v/>
      </c>
    </row>
    <row r="783" spans="1:6" x14ac:dyDescent="0.25">
      <c r="A783" s="116"/>
      <c r="B783" s="114"/>
      <c r="C783" s="111" t="str">
        <f t="shared" si="38"/>
        <v/>
      </c>
      <c r="D783" s="117"/>
      <c r="E783" s="113" t="str">
        <f t="shared" si="36"/>
        <v/>
      </c>
      <c r="F783" s="111" t="str">
        <f t="shared" si="37"/>
        <v/>
      </c>
    </row>
    <row r="784" spans="1:6" x14ac:dyDescent="0.25">
      <c r="A784" s="116"/>
      <c r="B784" s="114"/>
      <c r="C784" s="111" t="str">
        <f t="shared" si="38"/>
        <v/>
      </c>
      <c r="D784" s="117"/>
      <c r="E784" s="113" t="str">
        <f t="shared" si="36"/>
        <v/>
      </c>
      <c r="F784" s="111" t="str">
        <f t="shared" si="37"/>
        <v/>
      </c>
    </row>
    <row r="785" spans="1:6" x14ac:dyDescent="0.25">
      <c r="A785" s="116"/>
      <c r="B785" s="114"/>
      <c r="C785" s="111" t="str">
        <f t="shared" si="38"/>
        <v/>
      </c>
      <c r="D785" s="117"/>
      <c r="E785" s="113" t="str">
        <f t="shared" si="36"/>
        <v/>
      </c>
      <c r="F785" s="111" t="str">
        <f t="shared" si="37"/>
        <v/>
      </c>
    </row>
    <row r="786" spans="1:6" x14ac:dyDescent="0.25">
      <c r="A786" s="116"/>
      <c r="B786" s="114"/>
      <c r="C786" s="111" t="str">
        <f t="shared" si="38"/>
        <v/>
      </c>
      <c r="D786" s="117"/>
      <c r="E786" s="113" t="str">
        <f t="shared" si="36"/>
        <v/>
      </c>
      <c r="F786" s="111" t="str">
        <f t="shared" si="37"/>
        <v/>
      </c>
    </row>
    <row r="787" spans="1:6" x14ac:dyDescent="0.25">
      <c r="A787" s="116"/>
      <c r="B787" s="114"/>
      <c r="C787" s="111" t="str">
        <f t="shared" si="38"/>
        <v/>
      </c>
      <c r="D787" s="117"/>
      <c r="E787" s="113" t="str">
        <f t="shared" si="36"/>
        <v/>
      </c>
      <c r="F787" s="111" t="str">
        <f t="shared" si="37"/>
        <v/>
      </c>
    </row>
    <row r="788" spans="1:6" x14ac:dyDescent="0.25">
      <c r="A788" s="116"/>
      <c r="B788" s="114"/>
      <c r="C788" s="111" t="str">
        <f t="shared" si="38"/>
        <v/>
      </c>
      <c r="D788" s="117"/>
      <c r="E788" s="113" t="str">
        <f t="shared" si="36"/>
        <v/>
      </c>
      <c r="F788" s="111" t="str">
        <f t="shared" si="37"/>
        <v/>
      </c>
    </row>
    <row r="789" spans="1:6" x14ac:dyDescent="0.25">
      <c r="A789" s="116"/>
      <c r="B789" s="114"/>
      <c r="C789" s="111" t="str">
        <f t="shared" si="38"/>
        <v/>
      </c>
      <c r="D789" s="117"/>
      <c r="E789" s="113" t="str">
        <f t="shared" si="36"/>
        <v/>
      </c>
      <c r="F789" s="111" t="str">
        <f t="shared" si="37"/>
        <v/>
      </c>
    </row>
    <row r="790" spans="1:6" x14ac:dyDescent="0.25">
      <c r="A790" s="116"/>
      <c r="B790" s="114"/>
      <c r="C790" s="111" t="str">
        <f t="shared" si="38"/>
        <v/>
      </c>
      <c r="D790" s="117"/>
      <c r="E790" s="113" t="str">
        <f t="shared" si="36"/>
        <v/>
      </c>
      <c r="F790" s="111" t="str">
        <f t="shared" si="37"/>
        <v/>
      </c>
    </row>
    <row r="791" spans="1:6" x14ac:dyDescent="0.25">
      <c r="A791" s="116"/>
      <c r="B791" s="114"/>
      <c r="C791" s="111" t="str">
        <f t="shared" si="38"/>
        <v/>
      </c>
      <c r="D791" s="117"/>
      <c r="E791" s="113" t="str">
        <f t="shared" si="36"/>
        <v/>
      </c>
      <c r="F791" s="111" t="str">
        <f t="shared" si="37"/>
        <v/>
      </c>
    </row>
    <row r="792" spans="1:6" x14ac:dyDescent="0.25">
      <c r="A792" s="116"/>
      <c r="B792" s="114"/>
      <c r="C792" s="111" t="str">
        <f t="shared" si="38"/>
        <v/>
      </c>
      <c r="D792" s="117"/>
      <c r="E792" s="113" t="str">
        <f t="shared" si="36"/>
        <v/>
      </c>
      <c r="F792" s="111" t="str">
        <f t="shared" si="37"/>
        <v/>
      </c>
    </row>
    <row r="793" spans="1:6" x14ac:dyDescent="0.25">
      <c r="A793" s="116"/>
      <c r="B793" s="114"/>
      <c r="C793" s="111" t="str">
        <f t="shared" si="38"/>
        <v/>
      </c>
      <c r="D793" s="117"/>
      <c r="E793" s="113" t="str">
        <f t="shared" si="36"/>
        <v/>
      </c>
      <c r="F793" s="111" t="str">
        <f t="shared" si="37"/>
        <v/>
      </c>
    </row>
    <row r="794" spans="1:6" x14ac:dyDescent="0.25">
      <c r="A794" s="116"/>
      <c r="B794" s="114"/>
      <c r="C794" s="111" t="str">
        <f t="shared" si="38"/>
        <v/>
      </c>
      <c r="D794" s="117"/>
      <c r="E794" s="113" t="str">
        <f t="shared" si="36"/>
        <v/>
      </c>
      <c r="F794" s="111" t="str">
        <f t="shared" si="37"/>
        <v/>
      </c>
    </row>
    <row r="795" spans="1:6" x14ac:dyDescent="0.25">
      <c r="A795" s="116"/>
      <c r="B795" s="114"/>
      <c r="C795" s="111" t="str">
        <f t="shared" si="38"/>
        <v/>
      </c>
      <c r="D795" s="117"/>
      <c r="E795" s="113" t="str">
        <f t="shared" si="36"/>
        <v/>
      </c>
      <c r="F795" s="111" t="str">
        <f t="shared" si="37"/>
        <v/>
      </c>
    </row>
    <row r="796" spans="1:6" x14ac:dyDescent="0.25">
      <c r="A796" s="116"/>
      <c r="B796" s="114"/>
      <c r="C796" s="111" t="str">
        <f t="shared" si="38"/>
        <v/>
      </c>
      <c r="D796" s="117"/>
      <c r="E796" s="113" t="str">
        <f t="shared" si="36"/>
        <v/>
      </c>
      <c r="F796" s="111" t="str">
        <f t="shared" si="37"/>
        <v/>
      </c>
    </row>
    <row r="797" spans="1:6" x14ac:dyDescent="0.25">
      <c r="A797" s="116"/>
      <c r="B797" s="114"/>
      <c r="C797" s="111" t="str">
        <f t="shared" si="38"/>
        <v/>
      </c>
      <c r="D797" s="117"/>
      <c r="E797" s="113" t="str">
        <f t="shared" si="36"/>
        <v/>
      </c>
      <c r="F797" s="111" t="str">
        <f t="shared" si="37"/>
        <v/>
      </c>
    </row>
    <row r="798" spans="1:6" x14ac:dyDescent="0.25">
      <c r="A798" s="116"/>
      <c r="B798" s="114"/>
      <c r="C798" s="111" t="str">
        <f t="shared" si="38"/>
        <v/>
      </c>
      <c r="D798" s="117"/>
      <c r="E798" s="113" t="str">
        <f t="shared" si="36"/>
        <v/>
      </c>
      <c r="F798" s="111" t="str">
        <f t="shared" si="37"/>
        <v/>
      </c>
    </row>
    <row r="799" spans="1:6" x14ac:dyDescent="0.25">
      <c r="A799" s="116"/>
      <c r="B799" s="114"/>
      <c r="C799" s="111" t="str">
        <f t="shared" si="38"/>
        <v/>
      </c>
      <c r="D799" s="117"/>
      <c r="E799" s="113" t="str">
        <f t="shared" si="36"/>
        <v/>
      </c>
      <c r="F799" s="111" t="str">
        <f t="shared" si="37"/>
        <v/>
      </c>
    </row>
    <row r="800" spans="1:6" x14ac:dyDescent="0.25">
      <c r="A800" s="116"/>
      <c r="B800" s="114"/>
      <c r="C800" s="111" t="str">
        <f t="shared" si="38"/>
        <v/>
      </c>
      <c r="D800" s="117"/>
      <c r="E800" s="113" t="str">
        <f t="shared" si="36"/>
        <v/>
      </c>
      <c r="F800" s="111" t="str">
        <f t="shared" si="37"/>
        <v/>
      </c>
    </row>
    <row r="801" spans="1:6" x14ac:dyDescent="0.25">
      <c r="A801" s="116"/>
      <c r="B801" s="114"/>
      <c r="C801" s="111" t="str">
        <f t="shared" si="38"/>
        <v/>
      </c>
      <c r="D801" s="117"/>
      <c r="E801" s="113" t="str">
        <f t="shared" si="36"/>
        <v/>
      </c>
      <c r="F801" s="111" t="str">
        <f t="shared" si="37"/>
        <v/>
      </c>
    </row>
    <row r="802" spans="1:6" x14ac:dyDescent="0.25">
      <c r="A802" s="116"/>
      <c r="B802" s="114"/>
      <c r="C802" s="111" t="str">
        <f t="shared" si="38"/>
        <v/>
      </c>
      <c r="D802" s="117"/>
      <c r="E802" s="113" t="str">
        <f t="shared" si="36"/>
        <v/>
      </c>
      <c r="F802" s="111" t="str">
        <f t="shared" si="37"/>
        <v/>
      </c>
    </row>
    <row r="803" spans="1:6" x14ac:dyDescent="0.25">
      <c r="A803" s="116"/>
      <c r="B803" s="114"/>
      <c r="C803" s="111" t="str">
        <f t="shared" si="38"/>
        <v/>
      </c>
      <c r="D803" s="117"/>
      <c r="E803" s="113" t="str">
        <f t="shared" si="36"/>
        <v/>
      </c>
      <c r="F803" s="111" t="str">
        <f t="shared" si="37"/>
        <v/>
      </c>
    </row>
    <row r="804" spans="1:6" x14ac:dyDescent="0.25">
      <c r="A804" s="116"/>
      <c r="B804" s="114"/>
      <c r="C804" s="111" t="str">
        <f t="shared" si="38"/>
        <v/>
      </c>
      <c r="D804" s="117"/>
      <c r="E804" s="113" t="str">
        <f t="shared" si="36"/>
        <v/>
      </c>
      <c r="F804" s="111" t="str">
        <f t="shared" si="37"/>
        <v/>
      </c>
    </row>
    <row r="805" spans="1:6" x14ac:dyDescent="0.25">
      <c r="A805" s="116"/>
      <c r="B805" s="114"/>
      <c r="C805" s="111" t="str">
        <f t="shared" si="38"/>
        <v/>
      </c>
      <c r="D805" s="117"/>
      <c r="E805" s="113" t="str">
        <f t="shared" si="36"/>
        <v/>
      </c>
      <c r="F805" s="111" t="str">
        <f t="shared" si="37"/>
        <v/>
      </c>
    </row>
    <row r="806" spans="1:6" x14ac:dyDescent="0.25">
      <c r="A806" s="116"/>
      <c r="B806" s="114"/>
      <c r="C806" s="111" t="str">
        <f t="shared" si="38"/>
        <v/>
      </c>
      <c r="D806" s="117"/>
      <c r="E806" s="113" t="str">
        <f t="shared" si="36"/>
        <v/>
      </c>
      <c r="F806" s="111" t="str">
        <f t="shared" si="37"/>
        <v/>
      </c>
    </row>
    <row r="807" spans="1:6" x14ac:dyDescent="0.25">
      <c r="A807" s="116"/>
      <c r="B807" s="114"/>
      <c r="C807" s="111" t="str">
        <f t="shared" si="38"/>
        <v/>
      </c>
      <c r="D807" s="117"/>
      <c r="E807" s="113" t="str">
        <f t="shared" si="36"/>
        <v/>
      </c>
      <c r="F807" s="111" t="str">
        <f t="shared" si="37"/>
        <v/>
      </c>
    </row>
    <row r="808" spans="1:6" x14ac:dyDescent="0.25">
      <c r="A808" s="116"/>
      <c r="B808" s="114"/>
      <c r="C808" s="111" t="str">
        <f t="shared" si="38"/>
        <v/>
      </c>
      <c r="D808" s="117"/>
      <c r="E808" s="113" t="str">
        <f t="shared" si="36"/>
        <v/>
      </c>
      <c r="F808" s="111" t="str">
        <f t="shared" si="37"/>
        <v/>
      </c>
    </row>
    <row r="809" spans="1:6" x14ac:dyDescent="0.25">
      <c r="A809" s="116"/>
      <c r="B809" s="114"/>
      <c r="C809" s="111" t="str">
        <f t="shared" si="38"/>
        <v/>
      </c>
      <c r="D809" s="117"/>
      <c r="E809" s="113" t="str">
        <f t="shared" si="36"/>
        <v/>
      </c>
      <c r="F809" s="111" t="str">
        <f t="shared" si="37"/>
        <v/>
      </c>
    </row>
    <row r="810" spans="1:6" x14ac:dyDescent="0.25">
      <c r="A810" s="116"/>
      <c r="B810" s="114"/>
      <c r="C810" s="111" t="str">
        <f t="shared" si="38"/>
        <v/>
      </c>
      <c r="D810" s="117"/>
      <c r="E810" s="113" t="str">
        <f t="shared" si="36"/>
        <v/>
      </c>
      <c r="F810" s="111" t="str">
        <f t="shared" si="37"/>
        <v/>
      </c>
    </row>
    <row r="811" spans="1:6" x14ac:dyDescent="0.25">
      <c r="A811" s="116"/>
      <c r="B811" s="114"/>
      <c r="C811" s="111" t="str">
        <f t="shared" si="38"/>
        <v/>
      </c>
      <c r="D811" s="117"/>
      <c r="E811" s="113" t="str">
        <f t="shared" si="36"/>
        <v/>
      </c>
      <c r="F811" s="111" t="str">
        <f t="shared" si="37"/>
        <v/>
      </c>
    </row>
    <row r="812" spans="1:6" x14ac:dyDescent="0.25">
      <c r="A812" s="116"/>
      <c r="B812" s="114"/>
      <c r="C812" s="111" t="str">
        <f t="shared" si="38"/>
        <v/>
      </c>
      <c r="D812" s="117"/>
      <c r="E812" s="113" t="str">
        <f t="shared" si="36"/>
        <v/>
      </c>
      <c r="F812" s="111" t="str">
        <f t="shared" si="37"/>
        <v/>
      </c>
    </row>
    <row r="813" spans="1:6" x14ac:dyDescent="0.25">
      <c r="A813" s="116"/>
      <c r="B813" s="114"/>
      <c r="C813" s="111" t="str">
        <f t="shared" si="38"/>
        <v/>
      </c>
      <c r="D813" s="117"/>
      <c r="E813" s="113" t="str">
        <f t="shared" si="36"/>
        <v/>
      </c>
      <c r="F813" s="111" t="str">
        <f t="shared" si="37"/>
        <v/>
      </c>
    </row>
    <row r="814" spans="1:6" x14ac:dyDescent="0.25">
      <c r="A814" s="116"/>
      <c r="B814" s="114"/>
      <c r="C814" s="111" t="str">
        <f t="shared" si="38"/>
        <v/>
      </c>
      <c r="D814" s="117"/>
      <c r="E814" s="113" t="str">
        <f t="shared" si="36"/>
        <v/>
      </c>
      <c r="F814" s="111" t="str">
        <f t="shared" si="37"/>
        <v/>
      </c>
    </row>
    <row r="815" spans="1:6" x14ac:dyDescent="0.25">
      <c r="A815" s="116"/>
      <c r="B815" s="114"/>
      <c r="C815" s="111" t="str">
        <f t="shared" si="38"/>
        <v/>
      </c>
      <c r="D815" s="117"/>
      <c r="E815" s="113" t="str">
        <f t="shared" si="36"/>
        <v/>
      </c>
      <c r="F815" s="111" t="str">
        <f t="shared" si="37"/>
        <v/>
      </c>
    </row>
    <row r="816" spans="1:6" x14ac:dyDescent="0.25">
      <c r="A816" s="116"/>
      <c r="B816" s="114"/>
      <c r="C816" s="111" t="str">
        <f t="shared" si="38"/>
        <v/>
      </c>
      <c r="D816" s="117"/>
      <c r="E816" s="113" t="str">
        <f t="shared" si="36"/>
        <v/>
      </c>
      <c r="F816" s="111" t="str">
        <f t="shared" si="37"/>
        <v/>
      </c>
    </row>
    <row r="817" spans="1:6" x14ac:dyDescent="0.25">
      <c r="A817" s="116"/>
      <c r="B817" s="114"/>
      <c r="C817" s="111" t="str">
        <f t="shared" si="38"/>
        <v/>
      </c>
      <c r="D817" s="117"/>
      <c r="E817" s="113" t="str">
        <f t="shared" si="36"/>
        <v/>
      </c>
      <c r="F817" s="111" t="str">
        <f t="shared" si="37"/>
        <v/>
      </c>
    </row>
    <row r="818" spans="1:6" x14ac:dyDescent="0.25">
      <c r="A818" s="116"/>
      <c r="B818" s="114"/>
      <c r="C818" s="111" t="str">
        <f t="shared" si="38"/>
        <v/>
      </c>
      <c r="D818" s="117"/>
      <c r="E818" s="113" t="str">
        <f t="shared" si="36"/>
        <v/>
      </c>
      <c r="F818" s="111" t="str">
        <f t="shared" si="37"/>
        <v/>
      </c>
    </row>
    <row r="819" spans="1:6" x14ac:dyDescent="0.25">
      <c r="A819" s="116"/>
      <c r="B819" s="114"/>
      <c r="C819" s="111" t="str">
        <f t="shared" si="38"/>
        <v/>
      </c>
      <c r="D819" s="117"/>
      <c r="E819" s="113" t="str">
        <f t="shared" si="36"/>
        <v/>
      </c>
      <c r="F819" s="111" t="str">
        <f t="shared" si="37"/>
        <v/>
      </c>
    </row>
    <row r="820" spans="1:6" x14ac:dyDescent="0.25">
      <c r="A820" s="116"/>
      <c r="B820" s="114"/>
      <c r="C820" s="111" t="str">
        <f t="shared" si="38"/>
        <v/>
      </c>
      <c r="D820" s="117"/>
      <c r="E820" s="113" t="str">
        <f t="shared" si="36"/>
        <v/>
      </c>
      <c r="F820" s="111" t="str">
        <f t="shared" si="37"/>
        <v/>
      </c>
    </row>
    <row r="821" spans="1:6" x14ac:dyDescent="0.25">
      <c r="A821" s="116"/>
      <c r="B821" s="114"/>
      <c r="C821" s="111" t="str">
        <f t="shared" si="38"/>
        <v/>
      </c>
      <c r="D821" s="117"/>
      <c r="E821" s="113" t="str">
        <f t="shared" si="36"/>
        <v/>
      </c>
      <c r="F821" s="111" t="str">
        <f t="shared" si="37"/>
        <v/>
      </c>
    </row>
    <row r="822" spans="1:6" x14ac:dyDescent="0.25">
      <c r="A822" s="116"/>
      <c r="B822" s="114"/>
      <c r="C822" s="111" t="str">
        <f t="shared" si="38"/>
        <v/>
      </c>
      <c r="D822" s="117"/>
      <c r="E822" s="113" t="str">
        <f t="shared" si="36"/>
        <v/>
      </c>
      <c r="F822" s="111" t="str">
        <f t="shared" si="37"/>
        <v/>
      </c>
    </row>
    <row r="823" spans="1:6" x14ac:dyDescent="0.25">
      <c r="A823" s="116"/>
      <c r="B823" s="114"/>
      <c r="C823" s="111" t="str">
        <f t="shared" si="38"/>
        <v/>
      </c>
      <c r="D823" s="117"/>
      <c r="E823" s="113" t="str">
        <f t="shared" si="36"/>
        <v/>
      </c>
      <c r="F823" s="111" t="str">
        <f t="shared" si="37"/>
        <v/>
      </c>
    </row>
    <row r="824" spans="1:6" x14ac:dyDescent="0.25">
      <c r="A824" s="116"/>
      <c r="B824" s="114"/>
      <c r="C824" s="111" t="str">
        <f t="shared" si="38"/>
        <v/>
      </c>
      <c r="D824" s="117"/>
      <c r="E824" s="113" t="str">
        <f t="shared" si="36"/>
        <v/>
      </c>
      <c r="F824" s="111" t="str">
        <f t="shared" si="37"/>
        <v/>
      </c>
    </row>
    <row r="825" spans="1:6" x14ac:dyDescent="0.25">
      <c r="A825" s="116"/>
      <c r="B825" s="114"/>
      <c r="C825" s="111" t="str">
        <f t="shared" si="38"/>
        <v/>
      </c>
      <c r="D825" s="117"/>
      <c r="E825" s="113" t="str">
        <f t="shared" si="36"/>
        <v/>
      </c>
      <c r="F825" s="111" t="str">
        <f t="shared" si="37"/>
        <v/>
      </c>
    </row>
    <row r="826" spans="1:6" x14ac:dyDescent="0.25">
      <c r="A826" s="116"/>
      <c r="B826" s="114"/>
      <c r="C826" s="111" t="str">
        <f t="shared" si="38"/>
        <v/>
      </c>
      <c r="D826" s="117"/>
      <c r="E826" s="113" t="str">
        <f t="shared" si="36"/>
        <v/>
      </c>
      <c r="F826" s="111" t="str">
        <f t="shared" si="37"/>
        <v/>
      </c>
    </row>
    <row r="827" spans="1:6" x14ac:dyDescent="0.25">
      <c r="A827" s="116"/>
      <c r="B827" s="114"/>
      <c r="C827" s="111" t="str">
        <f t="shared" si="38"/>
        <v/>
      </c>
      <c r="D827" s="117"/>
      <c r="E827" s="113" t="str">
        <f t="shared" si="36"/>
        <v/>
      </c>
      <c r="F827" s="111" t="str">
        <f t="shared" si="37"/>
        <v/>
      </c>
    </row>
    <row r="828" spans="1:6" x14ac:dyDescent="0.25">
      <c r="A828" s="116"/>
      <c r="B828" s="114"/>
      <c r="C828" s="111" t="str">
        <f t="shared" si="38"/>
        <v/>
      </c>
      <c r="D828" s="117"/>
      <c r="E828" s="113" t="str">
        <f t="shared" si="36"/>
        <v/>
      </c>
      <c r="F828" s="111" t="str">
        <f t="shared" si="37"/>
        <v/>
      </c>
    </row>
    <row r="829" spans="1:6" x14ac:dyDescent="0.25">
      <c r="A829" s="116"/>
      <c r="B829" s="114"/>
      <c r="C829" s="111" t="str">
        <f t="shared" si="38"/>
        <v/>
      </c>
      <c r="D829" s="117"/>
      <c r="E829" s="113" t="str">
        <f t="shared" si="36"/>
        <v/>
      </c>
      <c r="F829" s="111" t="str">
        <f t="shared" si="37"/>
        <v/>
      </c>
    </row>
    <row r="830" spans="1:6" x14ac:dyDescent="0.25">
      <c r="A830" s="116"/>
      <c r="B830" s="114"/>
      <c r="C830" s="111" t="str">
        <f t="shared" si="38"/>
        <v/>
      </c>
      <c r="D830" s="117"/>
      <c r="E830" s="113" t="str">
        <f t="shared" si="36"/>
        <v/>
      </c>
      <c r="F830" s="111" t="str">
        <f t="shared" si="37"/>
        <v/>
      </c>
    </row>
    <row r="831" spans="1:6" x14ac:dyDescent="0.25">
      <c r="A831" s="116"/>
      <c r="B831" s="114"/>
      <c r="C831" s="111" t="str">
        <f t="shared" si="38"/>
        <v/>
      </c>
      <c r="D831" s="117"/>
      <c r="E831" s="113" t="str">
        <f t="shared" si="36"/>
        <v/>
      </c>
      <c r="F831" s="111" t="str">
        <f t="shared" si="37"/>
        <v/>
      </c>
    </row>
    <row r="832" spans="1:6" x14ac:dyDescent="0.25">
      <c r="A832" s="116"/>
      <c r="B832" s="114"/>
      <c r="C832" s="111" t="str">
        <f t="shared" si="38"/>
        <v/>
      </c>
      <c r="D832" s="117"/>
      <c r="E832" s="113" t="str">
        <f t="shared" si="36"/>
        <v/>
      </c>
      <c r="F832" s="111" t="str">
        <f t="shared" si="37"/>
        <v/>
      </c>
    </row>
    <row r="833" spans="1:6" x14ac:dyDescent="0.25">
      <c r="A833" s="116"/>
      <c r="B833" s="114"/>
      <c r="C833" s="111" t="str">
        <f t="shared" si="38"/>
        <v/>
      </c>
      <c r="D833" s="117"/>
      <c r="E833" s="113" t="str">
        <f t="shared" si="36"/>
        <v/>
      </c>
      <c r="F833" s="111" t="str">
        <f t="shared" si="37"/>
        <v/>
      </c>
    </row>
    <row r="834" spans="1:6" x14ac:dyDescent="0.25">
      <c r="A834" s="116"/>
      <c r="B834" s="114"/>
      <c r="C834" s="111" t="str">
        <f t="shared" si="38"/>
        <v/>
      </c>
      <c r="D834" s="117"/>
      <c r="E834" s="113" t="str">
        <f t="shared" si="36"/>
        <v/>
      </c>
      <c r="F834" s="111" t="str">
        <f t="shared" si="37"/>
        <v/>
      </c>
    </row>
    <row r="835" spans="1:6" x14ac:dyDescent="0.25">
      <c r="A835" s="116"/>
      <c r="B835" s="114"/>
      <c r="C835" s="111" t="str">
        <f t="shared" si="38"/>
        <v/>
      </c>
      <c r="D835" s="117"/>
      <c r="E835" s="113" t="str">
        <f t="shared" ref="E835:E898" si="39">IFERROR(MATCH(A835,$D$2:$D$1000,),"")</f>
        <v/>
      </c>
      <c r="F835" s="111" t="str">
        <f t="shared" ref="F835:F898" si="40">IF(E835&lt;&gt;"",INDEX($D$2:$D$1000,E835,1),"")</f>
        <v/>
      </c>
    </row>
    <row r="836" spans="1:6" x14ac:dyDescent="0.25">
      <c r="A836" s="116"/>
      <c r="B836" s="114"/>
      <c r="C836" s="111" t="str">
        <f t="shared" si="38"/>
        <v/>
      </c>
      <c r="D836" s="117"/>
      <c r="E836" s="113" t="str">
        <f t="shared" si="39"/>
        <v/>
      </c>
      <c r="F836" s="111" t="str">
        <f t="shared" si="40"/>
        <v/>
      </c>
    </row>
    <row r="837" spans="1:6" x14ac:dyDescent="0.25">
      <c r="A837" s="116"/>
      <c r="B837" s="114"/>
      <c r="C837" s="111" t="str">
        <f t="shared" si="38"/>
        <v/>
      </c>
      <c r="D837" s="117"/>
      <c r="E837" s="113" t="str">
        <f t="shared" si="39"/>
        <v/>
      </c>
      <c r="F837" s="111" t="str">
        <f t="shared" si="40"/>
        <v/>
      </c>
    </row>
    <row r="838" spans="1:6" x14ac:dyDescent="0.25">
      <c r="A838" s="116"/>
      <c r="B838" s="114"/>
      <c r="C838" s="111" t="str">
        <f t="shared" si="38"/>
        <v/>
      </c>
      <c r="D838" s="117"/>
      <c r="E838" s="113" t="str">
        <f t="shared" si="39"/>
        <v/>
      </c>
      <c r="F838" s="111" t="str">
        <f t="shared" si="40"/>
        <v/>
      </c>
    </row>
    <row r="839" spans="1:6" x14ac:dyDescent="0.25">
      <c r="A839" s="116"/>
      <c r="B839" s="114"/>
      <c r="C839" s="111" t="str">
        <f t="shared" si="38"/>
        <v/>
      </c>
      <c r="D839" s="117"/>
      <c r="E839" s="113" t="str">
        <f t="shared" si="39"/>
        <v/>
      </c>
      <c r="F839" s="111" t="str">
        <f t="shared" si="40"/>
        <v/>
      </c>
    </row>
    <row r="840" spans="1:6" x14ac:dyDescent="0.25">
      <c r="A840" s="116"/>
      <c r="B840" s="114"/>
      <c r="C840" s="111" t="str">
        <f t="shared" si="38"/>
        <v/>
      </c>
      <c r="D840" s="117"/>
      <c r="E840" s="113" t="str">
        <f t="shared" si="39"/>
        <v/>
      </c>
      <c r="F840" s="111" t="str">
        <f t="shared" si="40"/>
        <v/>
      </c>
    </row>
    <row r="841" spans="1:6" x14ac:dyDescent="0.25">
      <c r="A841" s="116"/>
      <c r="B841" s="114"/>
      <c r="C841" s="111" t="str">
        <f t="shared" si="38"/>
        <v/>
      </c>
      <c r="D841" s="117"/>
      <c r="E841" s="113" t="str">
        <f t="shared" si="39"/>
        <v/>
      </c>
      <c r="F841" s="111" t="str">
        <f t="shared" si="40"/>
        <v/>
      </c>
    </row>
    <row r="842" spans="1:6" x14ac:dyDescent="0.25">
      <c r="A842" s="116"/>
      <c r="B842" s="114"/>
      <c r="C842" s="111" t="str">
        <f t="shared" ref="C842:C905" si="41">IF(ISNA(VLOOKUP(B842,$A$1:$A$1000,1,FALSE)),"","Yes")</f>
        <v/>
      </c>
      <c r="D842" s="117"/>
      <c r="E842" s="113" t="str">
        <f t="shared" si="39"/>
        <v/>
      </c>
      <c r="F842" s="111" t="str">
        <f t="shared" si="40"/>
        <v/>
      </c>
    </row>
    <row r="843" spans="1:6" x14ac:dyDescent="0.25">
      <c r="A843" s="116"/>
      <c r="B843" s="114"/>
      <c r="C843" s="111" t="str">
        <f t="shared" si="41"/>
        <v/>
      </c>
      <c r="D843" s="117"/>
      <c r="E843" s="113" t="str">
        <f t="shared" si="39"/>
        <v/>
      </c>
      <c r="F843" s="111" t="str">
        <f t="shared" si="40"/>
        <v/>
      </c>
    </row>
    <row r="844" spans="1:6" x14ac:dyDescent="0.25">
      <c r="A844" s="116"/>
      <c r="B844" s="114"/>
      <c r="C844" s="111" t="str">
        <f t="shared" si="41"/>
        <v/>
      </c>
      <c r="D844" s="117"/>
      <c r="E844" s="113" t="str">
        <f t="shared" si="39"/>
        <v/>
      </c>
      <c r="F844" s="111" t="str">
        <f t="shared" si="40"/>
        <v/>
      </c>
    </row>
    <row r="845" spans="1:6" x14ac:dyDescent="0.25">
      <c r="A845" s="116"/>
      <c r="B845" s="114"/>
      <c r="C845" s="111" t="str">
        <f t="shared" si="41"/>
        <v/>
      </c>
      <c r="D845" s="117"/>
      <c r="E845" s="113" t="str">
        <f t="shared" si="39"/>
        <v/>
      </c>
      <c r="F845" s="111" t="str">
        <f t="shared" si="40"/>
        <v/>
      </c>
    </row>
    <row r="846" spans="1:6" x14ac:dyDescent="0.25">
      <c r="A846" s="116"/>
      <c r="B846" s="114"/>
      <c r="C846" s="111" t="str">
        <f t="shared" si="41"/>
        <v/>
      </c>
      <c r="D846" s="117"/>
      <c r="E846" s="113" t="str">
        <f t="shared" si="39"/>
        <v/>
      </c>
      <c r="F846" s="111" t="str">
        <f t="shared" si="40"/>
        <v/>
      </c>
    </row>
    <row r="847" spans="1:6" x14ac:dyDescent="0.25">
      <c r="A847" s="116"/>
      <c r="B847" s="114"/>
      <c r="C847" s="111" t="str">
        <f t="shared" si="41"/>
        <v/>
      </c>
      <c r="D847" s="117"/>
      <c r="E847" s="113" t="str">
        <f t="shared" si="39"/>
        <v/>
      </c>
      <c r="F847" s="111" t="str">
        <f t="shared" si="40"/>
        <v/>
      </c>
    </row>
    <row r="848" spans="1:6" x14ac:dyDescent="0.25">
      <c r="A848" s="116"/>
      <c r="B848" s="114"/>
      <c r="C848" s="111" t="str">
        <f t="shared" si="41"/>
        <v/>
      </c>
      <c r="D848" s="117"/>
      <c r="E848" s="113" t="str">
        <f t="shared" si="39"/>
        <v/>
      </c>
      <c r="F848" s="111" t="str">
        <f t="shared" si="40"/>
        <v/>
      </c>
    </row>
    <row r="849" spans="1:6" x14ac:dyDescent="0.25">
      <c r="A849" s="116"/>
      <c r="B849" s="114"/>
      <c r="C849" s="111" t="str">
        <f t="shared" si="41"/>
        <v/>
      </c>
      <c r="D849" s="117"/>
      <c r="E849" s="113" t="str">
        <f t="shared" si="39"/>
        <v/>
      </c>
      <c r="F849" s="111" t="str">
        <f t="shared" si="40"/>
        <v/>
      </c>
    </row>
    <row r="850" spans="1:6" x14ac:dyDescent="0.25">
      <c r="A850" s="116"/>
      <c r="B850" s="114"/>
      <c r="C850" s="111" t="str">
        <f t="shared" si="41"/>
        <v/>
      </c>
      <c r="D850" s="117"/>
      <c r="E850" s="113" t="str">
        <f t="shared" si="39"/>
        <v/>
      </c>
      <c r="F850" s="111" t="str">
        <f t="shared" si="40"/>
        <v/>
      </c>
    </row>
    <row r="851" spans="1:6" x14ac:dyDescent="0.25">
      <c r="A851" s="116"/>
      <c r="B851" s="114"/>
      <c r="C851" s="111" t="str">
        <f t="shared" si="41"/>
        <v/>
      </c>
      <c r="D851" s="117"/>
      <c r="E851" s="113" t="str">
        <f t="shared" si="39"/>
        <v/>
      </c>
      <c r="F851" s="111" t="str">
        <f t="shared" si="40"/>
        <v/>
      </c>
    </row>
    <row r="852" spans="1:6" x14ac:dyDescent="0.25">
      <c r="A852" s="116"/>
      <c r="B852" s="114"/>
      <c r="C852" s="111" t="str">
        <f t="shared" si="41"/>
        <v/>
      </c>
      <c r="D852" s="117"/>
      <c r="E852" s="113" t="str">
        <f t="shared" si="39"/>
        <v/>
      </c>
      <c r="F852" s="111" t="str">
        <f t="shared" si="40"/>
        <v/>
      </c>
    </row>
    <row r="853" spans="1:6" x14ac:dyDescent="0.25">
      <c r="A853" s="116"/>
      <c r="B853" s="114"/>
      <c r="C853" s="111" t="str">
        <f t="shared" si="41"/>
        <v/>
      </c>
      <c r="D853" s="117"/>
      <c r="E853" s="113" t="str">
        <f t="shared" si="39"/>
        <v/>
      </c>
      <c r="F853" s="111" t="str">
        <f t="shared" si="40"/>
        <v/>
      </c>
    </row>
    <row r="854" spans="1:6" x14ac:dyDescent="0.25">
      <c r="A854" s="116"/>
      <c r="B854" s="114"/>
      <c r="C854" s="111" t="str">
        <f t="shared" si="41"/>
        <v/>
      </c>
      <c r="D854" s="117"/>
      <c r="E854" s="113" t="str">
        <f t="shared" si="39"/>
        <v/>
      </c>
      <c r="F854" s="111" t="str">
        <f t="shared" si="40"/>
        <v/>
      </c>
    </row>
    <row r="855" spans="1:6" x14ac:dyDescent="0.25">
      <c r="A855" s="116"/>
      <c r="B855" s="114"/>
      <c r="C855" s="111" t="str">
        <f t="shared" si="41"/>
        <v/>
      </c>
      <c r="D855" s="117"/>
      <c r="E855" s="113" t="str">
        <f t="shared" si="39"/>
        <v/>
      </c>
      <c r="F855" s="111" t="str">
        <f t="shared" si="40"/>
        <v/>
      </c>
    </row>
    <row r="856" spans="1:6" x14ac:dyDescent="0.25">
      <c r="A856" s="116"/>
      <c r="B856" s="114"/>
      <c r="C856" s="111" t="str">
        <f t="shared" si="41"/>
        <v/>
      </c>
      <c r="D856" s="117"/>
      <c r="E856" s="113" t="str">
        <f t="shared" si="39"/>
        <v/>
      </c>
      <c r="F856" s="111" t="str">
        <f t="shared" si="40"/>
        <v/>
      </c>
    </row>
    <row r="857" spans="1:6" x14ac:dyDescent="0.25">
      <c r="A857" s="116"/>
      <c r="B857" s="114"/>
      <c r="C857" s="111" t="str">
        <f t="shared" si="41"/>
        <v/>
      </c>
      <c r="D857" s="117"/>
      <c r="E857" s="113" t="str">
        <f t="shared" si="39"/>
        <v/>
      </c>
      <c r="F857" s="111" t="str">
        <f t="shared" si="40"/>
        <v/>
      </c>
    </row>
    <row r="858" spans="1:6" x14ac:dyDescent="0.25">
      <c r="A858" s="116"/>
      <c r="B858" s="114"/>
      <c r="C858" s="111" t="str">
        <f t="shared" si="41"/>
        <v/>
      </c>
      <c r="D858" s="117"/>
      <c r="E858" s="113" t="str">
        <f t="shared" si="39"/>
        <v/>
      </c>
      <c r="F858" s="111" t="str">
        <f t="shared" si="40"/>
        <v/>
      </c>
    </row>
    <row r="859" spans="1:6" x14ac:dyDescent="0.25">
      <c r="A859" s="116"/>
      <c r="B859" s="114"/>
      <c r="C859" s="111" t="str">
        <f t="shared" si="41"/>
        <v/>
      </c>
      <c r="D859" s="117"/>
      <c r="E859" s="113" t="str">
        <f t="shared" si="39"/>
        <v/>
      </c>
      <c r="F859" s="111" t="str">
        <f t="shared" si="40"/>
        <v/>
      </c>
    </row>
    <row r="860" spans="1:6" x14ac:dyDescent="0.25">
      <c r="A860" s="116"/>
      <c r="B860" s="114"/>
      <c r="C860" s="111" t="str">
        <f t="shared" si="41"/>
        <v/>
      </c>
      <c r="D860" s="117"/>
      <c r="E860" s="113" t="str">
        <f t="shared" si="39"/>
        <v/>
      </c>
      <c r="F860" s="111" t="str">
        <f t="shared" si="40"/>
        <v/>
      </c>
    </row>
    <row r="861" spans="1:6" x14ac:dyDescent="0.25">
      <c r="A861" s="116"/>
      <c r="B861" s="114"/>
      <c r="C861" s="111" t="str">
        <f t="shared" si="41"/>
        <v/>
      </c>
      <c r="D861" s="117"/>
      <c r="E861" s="113" t="str">
        <f t="shared" si="39"/>
        <v/>
      </c>
      <c r="F861" s="111" t="str">
        <f t="shared" si="40"/>
        <v/>
      </c>
    </row>
    <row r="862" spans="1:6" x14ac:dyDescent="0.25">
      <c r="A862" s="116"/>
      <c r="B862" s="114"/>
      <c r="C862" s="111" t="str">
        <f t="shared" si="41"/>
        <v/>
      </c>
      <c r="D862" s="117"/>
      <c r="E862" s="113" t="str">
        <f t="shared" si="39"/>
        <v/>
      </c>
      <c r="F862" s="111" t="str">
        <f t="shared" si="40"/>
        <v/>
      </c>
    </row>
    <row r="863" spans="1:6" x14ac:dyDescent="0.25">
      <c r="A863" s="116"/>
      <c r="B863" s="114"/>
      <c r="C863" s="111" t="str">
        <f t="shared" si="41"/>
        <v/>
      </c>
      <c r="D863" s="117"/>
      <c r="E863" s="113" t="str">
        <f t="shared" si="39"/>
        <v/>
      </c>
      <c r="F863" s="111" t="str">
        <f t="shared" si="40"/>
        <v/>
      </c>
    </row>
    <row r="864" spans="1:6" x14ac:dyDescent="0.25">
      <c r="A864" s="116"/>
      <c r="B864" s="114"/>
      <c r="C864" s="111" t="str">
        <f t="shared" si="41"/>
        <v/>
      </c>
      <c r="D864" s="117"/>
      <c r="E864" s="113" t="str">
        <f t="shared" si="39"/>
        <v/>
      </c>
      <c r="F864" s="111" t="str">
        <f t="shared" si="40"/>
        <v/>
      </c>
    </row>
    <row r="865" spans="1:6" x14ac:dyDescent="0.25">
      <c r="A865" s="116"/>
      <c r="B865" s="114"/>
      <c r="C865" s="111" t="str">
        <f t="shared" si="41"/>
        <v/>
      </c>
      <c r="D865" s="117"/>
      <c r="E865" s="113" t="str">
        <f t="shared" si="39"/>
        <v/>
      </c>
      <c r="F865" s="111" t="str">
        <f t="shared" si="40"/>
        <v/>
      </c>
    </row>
    <row r="866" spans="1:6" x14ac:dyDescent="0.25">
      <c r="A866" s="116"/>
      <c r="B866" s="114"/>
      <c r="C866" s="111" t="str">
        <f t="shared" si="41"/>
        <v/>
      </c>
      <c r="D866" s="117"/>
      <c r="E866" s="113" t="str">
        <f t="shared" si="39"/>
        <v/>
      </c>
      <c r="F866" s="111" t="str">
        <f t="shared" si="40"/>
        <v/>
      </c>
    </row>
    <row r="867" spans="1:6" x14ac:dyDescent="0.25">
      <c r="A867" s="116"/>
      <c r="B867" s="114"/>
      <c r="C867" s="111" t="str">
        <f t="shared" si="41"/>
        <v/>
      </c>
      <c r="D867" s="117"/>
      <c r="E867" s="113" t="str">
        <f t="shared" si="39"/>
        <v/>
      </c>
      <c r="F867" s="111" t="str">
        <f t="shared" si="40"/>
        <v/>
      </c>
    </row>
    <row r="868" spans="1:6" x14ac:dyDescent="0.25">
      <c r="A868" s="116"/>
      <c r="B868" s="114"/>
      <c r="C868" s="111" t="str">
        <f t="shared" si="41"/>
        <v/>
      </c>
      <c r="D868" s="117"/>
      <c r="E868" s="113" t="str">
        <f t="shared" si="39"/>
        <v/>
      </c>
      <c r="F868" s="111" t="str">
        <f t="shared" si="40"/>
        <v/>
      </c>
    </row>
    <row r="869" spans="1:6" x14ac:dyDescent="0.25">
      <c r="A869" s="116"/>
      <c r="B869" s="114"/>
      <c r="C869" s="111" t="str">
        <f t="shared" si="41"/>
        <v/>
      </c>
      <c r="D869" s="117"/>
      <c r="E869" s="113" t="str">
        <f t="shared" si="39"/>
        <v/>
      </c>
      <c r="F869" s="111" t="str">
        <f t="shared" si="40"/>
        <v/>
      </c>
    </row>
    <row r="870" spans="1:6" x14ac:dyDescent="0.25">
      <c r="A870" s="116"/>
      <c r="B870" s="114"/>
      <c r="C870" s="111" t="str">
        <f t="shared" si="41"/>
        <v/>
      </c>
      <c r="D870" s="117"/>
      <c r="E870" s="113" t="str">
        <f t="shared" si="39"/>
        <v/>
      </c>
      <c r="F870" s="111" t="str">
        <f t="shared" si="40"/>
        <v/>
      </c>
    </row>
    <row r="871" spans="1:6" x14ac:dyDescent="0.25">
      <c r="A871" s="116"/>
      <c r="B871" s="114"/>
      <c r="C871" s="111" t="str">
        <f t="shared" si="41"/>
        <v/>
      </c>
      <c r="D871" s="117"/>
      <c r="E871" s="113" t="str">
        <f t="shared" si="39"/>
        <v/>
      </c>
      <c r="F871" s="111" t="str">
        <f t="shared" si="40"/>
        <v/>
      </c>
    </row>
    <row r="872" spans="1:6" x14ac:dyDescent="0.25">
      <c r="A872" s="116"/>
      <c r="B872" s="114"/>
      <c r="C872" s="111" t="str">
        <f t="shared" si="41"/>
        <v/>
      </c>
      <c r="D872" s="117"/>
      <c r="E872" s="113" t="str">
        <f t="shared" si="39"/>
        <v/>
      </c>
      <c r="F872" s="111" t="str">
        <f t="shared" si="40"/>
        <v/>
      </c>
    </row>
    <row r="873" spans="1:6" x14ac:dyDescent="0.25">
      <c r="A873" s="116"/>
      <c r="B873" s="114"/>
      <c r="C873" s="111" t="str">
        <f t="shared" si="41"/>
        <v/>
      </c>
      <c r="D873" s="117"/>
      <c r="E873" s="113" t="str">
        <f t="shared" si="39"/>
        <v/>
      </c>
      <c r="F873" s="111" t="str">
        <f t="shared" si="40"/>
        <v/>
      </c>
    </row>
    <row r="874" spans="1:6" x14ac:dyDescent="0.25">
      <c r="A874" s="116"/>
      <c r="B874" s="114"/>
      <c r="C874" s="111" t="str">
        <f t="shared" si="41"/>
        <v/>
      </c>
      <c r="D874" s="117"/>
      <c r="E874" s="113" t="str">
        <f t="shared" si="39"/>
        <v/>
      </c>
      <c r="F874" s="111" t="str">
        <f t="shared" si="40"/>
        <v/>
      </c>
    </row>
    <row r="875" spans="1:6" x14ac:dyDescent="0.25">
      <c r="A875" s="116"/>
      <c r="B875" s="114"/>
      <c r="C875" s="111" t="str">
        <f t="shared" si="41"/>
        <v/>
      </c>
      <c r="D875" s="117"/>
      <c r="E875" s="113" t="str">
        <f t="shared" si="39"/>
        <v/>
      </c>
      <c r="F875" s="111" t="str">
        <f t="shared" si="40"/>
        <v/>
      </c>
    </row>
    <row r="876" spans="1:6" x14ac:dyDescent="0.25">
      <c r="A876" s="116"/>
      <c r="B876" s="114"/>
      <c r="C876" s="111" t="str">
        <f t="shared" si="41"/>
        <v/>
      </c>
      <c r="D876" s="117"/>
      <c r="E876" s="113" t="str">
        <f t="shared" si="39"/>
        <v/>
      </c>
      <c r="F876" s="111" t="str">
        <f t="shared" si="40"/>
        <v/>
      </c>
    </row>
    <row r="877" spans="1:6" x14ac:dyDescent="0.25">
      <c r="A877" s="116"/>
      <c r="B877" s="114"/>
      <c r="C877" s="111" t="str">
        <f t="shared" si="41"/>
        <v/>
      </c>
      <c r="D877" s="117"/>
      <c r="E877" s="113" t="str">
        <f t="shared" si="39"/>
        <v/>
      </c>
      <c r="F877" s="111" t="str">
        <f t="shared" si="40"/>
        <v/>
      </c>
    </row>
    <row r="878" spans="1:6" x14ac:dyDescent="0.25">
      <c r="A878" s="116"/>
      <c r="B878" s="114"/>
      <c r="C878" s="111" t="str">
        <f t="shared" si="41"/>
        <v/>
      </c>
      <c r="D878" s="117"/>
      <c r="E878" s="113" t="str">
        <f t="shared" si="39"/>
        <v/>
      </c>
      <c r="F878" s="111" t="str">
        <f t="shared" si="40"/>
        <v/>
      </c>
    </row>
    <row r="879" spans="1:6" x14ac:dyDescent="0.25">
      <c r="A879" s="116"/>
      <c r="B879" s="114"/>
      <c r="C879" s="111" t="str">
        <f t="shared" si="41"/>
        <v/>
      </c>
      <c r="D879" s="117"/>
      <c r="E879" s="113" t="str">
        <f t="shared" si="39"/>
        <v/>
      </c>
      <c r="F879" s="111" t="str">
        <f t="shared" si="40"/>
        <v/>
      </c>
    </row>
    <row r="880" spans="1:6" x14ac:dyDescent="0.25">
      <c r="A880" s="116"/>
      <c r="B880" s="114"/>
      <c r="C880" s="111" t="str">
        <f t="shared" si="41"/>
        <v/>
      </c>
      <c r="D880" s="117"/>
      <c r="E880" s="113" t="str">
        <f t="shared" si="39"/>
        <v/>
      </c>
      <c r="F880" s="111" t="str">
        <f t="shared" si="40"/>
        <v/>
      </c>
    </row>
    <row r="881" spans="1:6" x14ac:dyDescent="0.25">
      <c r="A881" s="116"/>
      <c r="B881" s="114"/>
      <c r="C881" s="111" t="str">
        <f t="shared" si="41"/>
        <v/>
      </c>
      <c r="D881" s="117"/>
      <c r="E881" s="113" t="str">
        <f t="shared" si="39"/>
        <v/>
      </c>
      <c r="F881" s="111" t="str">
        <f t="shared" si="40"/>
        <v/>
      </c>
    </row>
    <row r="882" spans="1:6" x14ac:dyDescent="0.25">
      <c r="A882" s="116"/>
      <c r="B882" s="114"/>
      <c r="C882" s="111" t="str">
        <f t="shared" si="41"/>
        <v/>
      </c>
      <c r="D882" s="117"/>
      <c r="E882" s="113" t="str">
        <f t="shared" si="39"/>
        <v/>
      </c>
      <c r="F882" s="111" t="str">
        <f t="shared" si="40"/>
        <v/>
      </c>
    </row>
    <row r="883" spans="1:6" x14ac:dyDescent="0.25">
      <c r="A883" s="116"/>
      <c r="B883" s="114"/>
      <c r="C883" s="111" t="str">
        <f t="shared" si="41"/>
        <v/>
      </c>
      <c r="D883" s="117"/>
      <c r="E883" s="113" t="str">
        <f t="shared" si="39"/>
        <v/>
      </c>
      <c r="F883" s="111" t="str">
        <f t="shared" si="40"/>
        <v/>
      </c>
    </row>
    <row r="884" spans="1:6" x14ac:dyDescent="0.25">
      <c r="A884" s="116"/>
      <c r="B884" s="114"/>
      <c r="C884" s="111" t="str">
        <f t="shared" si="41"/>
        <v/>
      </c>
      <c r="D884" s="117"/>
      <c r="E884" s="113" t="str">
        <f t="shared" si="39"/>
        <v/>
      </c>
      <c r="F884" s="111" t="str">
        <f t="shared" si="40"/>
        <v/>
      </c>
    </row>
    <row r="885" spans="1:6" x14ac:dyDescent="0.25">
      <c r="A885" s="116"/>
      <c r="B885" s="114"/>
      <c r="C885" s="111" t="str">
        <f t="shared" si="41"/>
        <v/>
      </c>
      <c r="D885" s="117"/>
      <c r="E885" s="113" t="str">
        <f t="shared" si="39"/>
        <v/>
      </c>
      <c r="F885" s="111" t="str">
        <f t="shared" si="40"/>
        <v/>
      </c>
    </row>
    <row r="886" spans="1:6" x14ac:dyDescent="0.25">
      <c r="A886" s="116"/>
      <c r="B886" s="114"/>
      <c r="C886" s="111" t="str">
        <f t="shared" si="41"/>
        <v/>
      </c>
      <c r="D886" s="117"/>
      <c r="E886" s="113" t="str">
        <f t="shared" si="39"/>
        <v/>
      </c>
      <c r="F886" s="111" t="str">
        <f t="shared" si="40"/>
        <v/>
      </c>
    </row>
    <row r="887" spans="1:6" x14ac:dyDescent="0.25">
      <c r="A887" s="116"/>
      <c r="B887" s="114"/>
      <c r="C887" s="111" t="str">
        <f t="shared" si="41"/>
        <v/>
      </c>
      <c r="D887" s="117"/>
      <c r="E887" s="113" t="str">
        <f t="shared" si="39"/>
        <v/>
      </c>
      <c r="F887" s="111" t="str">
        <f t="shared" si="40"/>
        <v/>
      </c>
    </row>
    <row r="888" spans="1:6" x14ac:dyDescent="0.25">
      <c r="A888" s="116"/>
      <c r="B888" s="114"/>
      <c r="C888" s="111" t="str">
        <f t="shared" si="41"/>
        <v/>
      </c>
      <c r="D888" s="117"/>
      <c r="E888" s="113" t="str">
        <f t="shared" si="39"/>
        <v/>
      </c>
      <c r="F888" s="111" t="str">
        <f t="shared" si="40"/>
        <v/>
      </c>
    </row>
    <row r="889" spans="1:6" x14ac:dyDescent="0.25">
      <c r="A889" s="116"/>
      <c r="B889" s="114"/>
      <c r="C889" s="111" t="str">
        <f t="shared" si="41"/>
        <v/>
      </c>
      <c r="D889" s="117"/>
      <c r="E889" s="113" t="str">
        <f t="shared" si="39"/>
        <v/>
      </c>
      <c r="F889" s="111" t="str">
        <f t="shared" si="40"/>
        <v/>
      </c>
    </row>
    <row r="890" spans="1:6" x14ac:dyDescent="0.25">
      <c r="A890" s="116"/>
      <c r="B890" s="114"/>
      <c r="C890" s="111" t="str">
        <f t="shared" si="41"/>
        <v/>
      </c>
      <c r="D890" s="117"/>
      <c r="E890" s="113" t="str">
        <f t="shared" si="39"/>
        <v/>
      </c>
      <c r="F890" s="111" t="str">
        <f t="shared" si="40"/>
        <v/>
      </c>
    </row>
    <row r="891" spans="1:6" x14ac:dyDescent="0.25">
      <c r="A891" s="116"/>
      <c r="B891" s="114"/>
      <c r="C891" s="111" t="str">
        <f t="shared" si="41"/>
        <v/>
      </c>
      <c r="D891" s="117"/>
      <c r="E891" s="113" t="str">
        <f t="shared" si="39"/>
        <v/>
      </c>
      <c r="F891" s="111" t="str">
        <f t="shared" si="40"/>
        <v/>
      </c>
    </row>
    <row r="892" spans="1:6" x14ac:dyDescent="0.25">
      <c r="A892" s="116"/>
      <c r="B892" s="114"/>
      <c r="C892" s="111" t="str">
        <f t="shared" si="41"/>
        <v/>
      </c>
      <c r="D892" s="117"/>
      <c r="E892" s="113" t="str">
        <f t="shared" si="39"/>
        <v/>
      </c>
      <c r="F892" s="111" t="str">
        <f t="shared" si="40"/>
        <v/>
      </c>
    </row>
    <row r="893" spans="1:6" x14ac:dyDescent="0.25">
      <c r="A893" s="116"/>
      <c r="B893" s="114"/>
      <c r="C893" s="111" t="str">
        <f t="shared" si="41"/>
        <v/>
      </c>
      <c r="D893" s="117"/>
      <c r="E893" s="113" t="str">
        <f t="shared" si="39"/>
        <v/>
      </c>
      <c r="F893" s="111" t="str">
        <f t="shared" si="40"/>
        <v/>
      </c>
    </row>
    <row r="894" spans="1:6" x14ac:dyDescent="0.25">
      <c r="A894" s="116"/>
      <c r="B894" s="114"/>
      <c r="C894" s="111" t="str">
        <f t="shared" si="41"/>
        <v/>
      </c>
      <c r="D894" s="117"/>
      <c r="E894" s="113" t="str">
        <f t="shared" si="39"/>
        <v/>
      </c>
      <c r="F894" s="111" t="str">
        <f t="shared" si="40"/>
        <v/>
      </c>
    </row>
    <row r="895" spans="1:6" x14ac:dyDescent="0.25">
      <c r="A895" s="116"/>
      <c r="B895" s="114"/>
      <c r="C895" s="111" t="str">
        <f t="shared" si="41"/>
        <v/>
      </c>
      <c r="D895" s="117"/>
      <c r="E895" s="113" t="str">
        <f t="shared" si="39"/>
        <v/>
      </c>
      <c r="F895" s="111" t="str">
        <f t="shared" si="40"/>
        <v/>
      </c>
    </row>
    <row r="896" spans="1:6" x14ac:dyDescent="0.25">
      <c r="A896" s="116"/>
      <c r="B896" s="114"/>
      <c r="C896" s="111" t="str">
        <f t="shared" si="41"/>
        <v/>
      </c>
      <c r="D896" s="117"/>
      <c r="E896" s="113" t="str">
        <f t="shared" si="39"/>
        <v/>
      </c>
      <c r="F896" s="111" t="str">
        <f t="shared" si="40"/>
        <v/>
      </c>
    </row>
    <row r="897" spans="1:6" x14ac:dyDescent="0.25">
      <c r="A897" s="116"/>
      <c r="B897" s="114"/>
      <c r="C897" s="111" t="str">
        <f t="shared" si="41"/>
        <v/>
      </c>
      <c r="D897" s="117"/>
      <c r="E897" s="113" t="str">
        <f t="shared" si="39"/>
        <v/>
      </c>
      <c r="F897" s="111" t="str">
        <f t="shared" si="40"/>
        <v/>
      </c>
    </row>
    <row r="898" spans="1:6" x14ac:dyDescent="0.25">
      <c r="A898" s="116"/>
      <c r="B898" s="114"/>
      <c r="C898" s="111" t="str">
        <f t="shared" si="41"/>
        <v/>
      </c>
      <c r="D898" s="117"/>
      <c r="E898" s="113" t="str">
        <f t="shared" si="39"/>
        <v/>
      </c>
      <c r="F898" s="111" t="str">
        <f t="shared" si="40"/>
        <v/>
      </c>
    </row>
    <row r="899" spans="1:6" x14ac:dyDescent="0.25">
      <c r="A899" s="116"/>
      <c r="B899" s="114"/>
      <c r="C899" s="111" t="str">
        <f t="shared" si="41"/>
        <v/>
      </c>
      <c r="D899" s="117"/>
      <c r="E899" s="113" t="str">
        <f t="shared" ref="E899:E962" si="42">IFERROR(MATCH(A899,$D$2:$D$1000,),"")</f>
        <v/>
      </c>
      <c r="F899" s="111" t="str">
        <f t="shared" ref="F899:F962" si="43">IF(E899&lt;&gt;"",INDEX($D$2:$D$1000,E899,1),"")</f>
        <v/>
      </c>
    </row>
    <row r="900" spans="1:6" x14ac:dyDescent="0.25">
      <c r="A900" s="116"/>
      <c r="B900" s="114"/>
      <c r="C900" s="111" t="str">
        <f t="shared" si="41"/>
        <v/>
      </c>
      <c r="D900" s="117"/>
      <c r="E900" s="113" t="str">
        <f t="shared" si="42"/>
        <v/>
      </c>
      <c r="F900" s="111" t="str">
        <f t="shared" si="43"/>
        <v/>
      </c>
    </row>
    <row r="901" spans="1:6" x14ac:dyDescent="0.25">
      <c r="A901" s="116"/>
      <c r="B901" s="114"/>
      <c r="C901" s="111" t="str">
        <f t="shared" si="41"/>
        <v/>
      </c>
      <c r="D901" s="117"/>
      <c r="E901" s="113" t="str">
        <f t="shared" si="42"/>
        <v/>
      </c>
      <c r="F901" s="111" t="str">
        <f t="shared" si="43"/>
        <v/>
      </c>
    </row>
    <row r="902" spans="1:6" x14ac:dyDescent="0.25">
      <c r="A902" s="116"/>
      <c r="B902" s="114"/>
      <c r="C902" s="111" t="str">
        <f t="shared" si="41"/>
        <v/>
      </c>
      <c r="D902" s="117"/>
      <c r="E902" s="113" t="str">
        <f t="shared" si="42"/>
        <v/>
      </c>
      <c r="F902" s="111" t="str">
        <f t="shared" si="43"/>
        <v/>
      </c>
    </row>
    <row r="903" spans="1:6" x14ac:dyDescent="0.25">
      <c r="A903" s="116"/>
      <c r="B903" s="114"/>
      <c r="C903" s="111" t="str">
        <f t="shared" si="41"/>
        <v/>
      </c>
      <c r="D903" s="117"/>
      <c r="E903" s="113" t="str">
        <f t="shared" si="42"/>
        <v/>
      </c>
      <c r="F903" s="111" t="str">
        <f t="shared" si="43"/>
        <v/>
      </c>
    </row>
    <row r="904" spans="1:6" x14ac:dyDescent="0.25">
      <c r="A904" s="116"/>
      <c r="B904" s="114"/>
      <c r="C904" s="111" t="str">
        <f t="shared" si="41"/>
        <v/>
      </c>
      <c r="D904" s="117"/>
      <c r="E904" s="113" t="str">
        <f t="shared" si="42"/>
        <v/>
      </c>
      <c r="F904" s="111" t="str">
        <f t="shared" si="43"/>
        <v/>
      </c>
    </row>
    <row r="905" spans="1:6" x14ac:dyDescent="0.25">
      <c r="A905" s="116"/>
      <c r="B905" s="114"/>
      <c r="C905" s="111" t="str">
        <f t="shared" si="41"/>
        <v/>
      </c>
      <c r="D905" s="117"/>
      <c r="E905" s="113" t="str">
        <f t="shared" si="42"/>
        <v/>
      </c>
      <c r="F905" s="111" t="str">
        <f t="shared" si="43"/>
        <v/>
      </c>
    </row>
    <row r="906" spans="1:6" x14ac:dyDescent="0.25">
      <c r="A906" s="116"/>
      <c r="B906" s="114"/>
      <c r="C906" s="111" t="str">
        <f t="shared" ref="C906:C969" si="44">IF(ISNA(VLOOKUP(B906,$A$1:$A$1000,1,FALSE)),"","Yes")</f>
        <v/>
      </c>
      <c r="D906" s="117"/>
      <c r="E906" s="113" t="str">
        <f t="shared" si="42"/>
        <v/>
      </c>
      <c r="F906" s="111" t="str">
        <f t="shared" si="43"/>
        <v/>
      </c>
    </row>
    <row r="907" spans="1:6" x14ac:dyDescent="0.25">
      <c r="A907" s="116"/>
      <c r="B907" s="114"/>
      <c r="C907" s="111" t="str">
        <f t="shared" si="44"/>
        <v/>
      </c>
      <c r="D907" s="117"/>
      <c r="E907" s="113" t="str">
        <f t="shared" si="42"/>
        <v/>
      </c>
      <c r="F907" s="111" t="str">
        <f t="shared" si="43"/>
        <v/>
      </c>
    </row>
    <row r="908" spans="1:6" x14ac:dyDescent="0.25">
      <c r="A908" s="116"/>
      <c r="B908" s="114"/>
      <c r="C908" s="111" t="str">
        <f t="shared" si="44"/>
        <v/>
      </c>
      <c r="D908" s="117"/>
      <c r="E908" s="113" t="str">
        <f t="shared" si="42"/>
        <v/>
      </c>
      <c r="F908" s="111" t="str">
        <f t="shared" si="43"/>
        <v/>
      </c>
    </row>
    <row r="909" spans="1:6" x14ac:dyDescent="0.25">
      <c r="A909" s="116"/>
      <c r="B909" s="114"/>
      <c r="C909" s="111" t="str">
        <f t="shared" si="44"/>
        <v/>
      </c>
      <c r="D909" s="117"/>
      <c r="E909" s="113" t="str">
        <f t="shared" si="42"/>
        <v/>
      </c>
      <c r="F909" s="111" t="str">
        <f t="shared" si="43"/>
        <v/>
      </c>
    </row>
    <row r="910" spans="1:6" x14ac:dyDescent="0.25">
      <c r="A910" s="116"/>
      <c r="B910" s="114"/>
      <c r="C910" s="111" t="str">
        <f t="shared" si="44"/>
        <v/>
      </c>
      <c r="D910" s="117"/>
      <c r="E910" s="113" t="str">
        <f t="shared" si="42"/>
        <v/>
      </c>
      <c r="F910" s="111" t="str">
        <f t="shared" si="43"/>
        <v/>
      </c>
    </row>
    <row r="911" spans="1:6" x14ac:dyDescent="0.25">
      <c r="A911" s="116"/>
      <c r="B911" s="114"/>
      <c r="C911" s="111" t="str">
        <f t="shared" si="44"/>
        <v/>
      </c>
      <c r="D911" s="117"/>
      <c r="E911" s="113" t="str">
        <f t="shared" si="42"/>
        <v/>
      </c>
      <c r="F911" s="111" t="str">
        <f t="shared" si="43"/>
        <v/>
      </c>
    </row>
    <row r="912" spans="1:6" x14ac:dyDescent="0.25">
      <c r="A912" s="116"/>
      <c r="B912" s="114"/>
      <c r="C912" s="111" t="str">
        <f t="shared" si="44"/>
        <v/>
      </c>
      <c r="D912" s="117"/>
      <c r="E912" s="113" t="str">
        <f t="shared" si="42"/>
        <v/>
      </c>
      <c r="F912" s="111" t="str">
        <f t="shared" si="43"/>
        <v/>
      </c>
    </row>
    <row r="913" spans="1:6" x14ac:dyDescent="0.25">
      <c r="A913" s="116"/>
      <c r="B913" s="114"/>
      <c r="C913" s="111" t="str">
        <f t="shared" si="44"/>
        <v/>
      </c>
      <c r="D913" s="117"/>
      <c r="E913" s="113" t="str">
        <f t="shared" si="42"/>
        <v/>
      </c>
      <c r="F913" s="111" t="str">
        <f t="shared" si="43"/>
        <v/>
      </c>
    </row>
    <row r="914" spans="1:6" x14ac:dyDescent="0.25">
      <c r="A914" s="116"/>
      <c r="B914" s="114"/>
      <c r="C914" s="111" t="str">
        <f t="shared" si="44"/>
        <v/>
      </c>
      <c r="D914" s="117"/>
      <c r="E914" s="113" t="str">
        <f t="shared" si="42"/>
        <v/>
      </c>
      <c r="F914" s="111" t="str">
        <f t="shared" si="43"/>
        <v/>
      </c>
    </row>
    <row r="915" spans="1:6" x14ac:dyDescent="0.25">
      <c r="A915" s="116"/>
      <c r="B915" s="114"/>
      <c r="C915" s="111" t="str">
        <f t="shared" si="44"/>
        <v/>
      </c>
      <c r="D915" s="117"/>
      <c r="E915" s="113" t="str">
        <f t="shared" si="42"/>
        <v/>
      </c>
      <c r="F915" s="111" t="str">
        <f t="shared" si="43"/>
        <v/>
      </c>
    </row>
    <row r="916" spans="1:6" x14ac:dyDescent="0.25">
      <c r="A916" s="116"/>
      <c r="B916" s="114"/>
      <c r="C916" s="111" t="str">
        <f t="shared" si="44"/>
        <v/>
      </c>
      <c r="D916" s="117"/>
      <c r="E916" s="113" t="str">
        <f t="shared" si="42"/>
        <v/>
      </c>
      <c r="F916" s="111" t="str">
        <f t="shared" si="43"/>
        <v/>
      </c>
    </row>
    <row r="917" spans="1:6" x14ac:dyDescent="0.25">
      <c r="A917" s="116"/>
      <c r="B917" s="114"/>
      <c r="C917" s="111" t="str">
        <f t="shared" si="44"/>
        <v/>
      </c>
      <c r="D917" s="117"/>
      <c r="E917" s="113" t="str">
        <f t="shared" si="42"/>
        <v/>
      </c>
      <c r="F917" s="111" t="str">
        <f t="shared" si="43"/>
        <v/>
      </c>
    </row>
    <row r="918" spans="1:6" x14ac:dyDescent="0.25">
      <c r="A918" s="116"/>
      <c r="B918" s="114"/>
      <c r="C918" s="111" t="str">
        <f t="shared" si="44"/>
        <v/>
      </c>
      <c r="D918" s="117"/>
      <c r="E918" s="113" t="str">
        <f t="shared" si="42"/>
        <v/>
      </c>
      <c r="F918" s="111" t="str">
        <f t="shared" si="43"/>
        <v/>
      </c>
    </row>
    <row r="919" spans="1:6" x14ac:dyDescent="0.25">
      <c r="A919" s="116"/>
      <c r="B919" s="114"/>
      <c r="C919" s="111" t="str">
        <f t="shared" si="44"/>
        <v/>
      </c>
      <c r="D919" s="117"/>
      <c r="E919" s="113" t="str">
        <f t="shared" si="42"/>
        <v/>
      </c>
      <c r="F919" s="111" t="str">
        <f t="shared" si="43"/>
        <v/>
      </c>
    </row>
    <row r="920" spans="1:6" x14ac:dyDescent="0.25">
      <c r="A920" s="116"/>
      <c r="B920" s="114"/>
      <c r="C920" s="111" t="str">
        <f t="shared" si="44"/>
        <v/>
      </c>
      <c r="D920" s="117"/>
      <c r="E920" s="113" t="str">
        <f t="shared" si="42"/>
        <v/>
      </c>
      <c r="F920" s="111" t="str">
        <f t="shared" si="43"/>
        <v/>
      </c>
    </row>
    <row r="921" spans="1:6" x14ac:dyDescent="0.25">
      <c r="A921" s="116"/>
      <c r="B921" s="114"/>
      <c r="C921" s="111" t="str">
        <f t="shared" si="44"/>
        <v/>
      </c>
      <c r="D921" s="117"/>
      <c r="E921" s="113" t="str">
        <f t="shared" si="42"/>
        <v/>
      </c>
      <c r="F921" s="111" t="str">
        <f t="shared" si="43"/>
        <v/>
      </c>
    </row>
    <row r="922" spans="1:6" x14ac:dyDescent="0.25">
      <c r="A922" s="116"/>
      <c r="B922" s="114"/>
      <c r="C922" s="111" t="str">
        <f t="shared" si="44"/>
        <v/>
      </c>
      <c r="D922" s="117"/>
      <c r="E922" s="113" t="str">
        <f t="shared" si="42"/>
        <v/>
      </c>
      <c r="F922" s="111" t="str">
        <f t="shared" si="43"/>
        <v/>
      </c>
    </row>
    <row r="923" spans="1:6" x14ac:dyDescent="0.25">
      <c r="A923" s="116"/>
      <c r="B923" s="114"/>
      <c r="C923" s="111" t="str">
        <f t="shared" si="44"/>
        <v/>
      </c>
      <c r="D923" s="117"/>
      <c r="E923" s="113" t="str">
        <f t="shared" si="42"/>
        <v/>
      </c>
      <c r="F923" s="111" t="str">
        <f t="shared" si="43"/>
        <v/>
      </c>
    </row>
    <row r="924" spans="1:6" x14ac:dyDescent="0.25">
      <c r="A924" s="116"/>
      <c r="B924" s="114"/>
      <c r="C924" s="111" t="str">
        <f t="shared" si="44"/>
        <v/>
      </c>
      <c r="D924" s="117"/>
      <c r="E924" s="113" t="str">
        <f t="shared" si="42"/>
        <v/>
      </c>
      <c r="F924" s="111" t="str">
        <f t="shared" si="43"/>
        <v/>
      </c>
    </row>
    <row r="925" spans="1:6" x14ac:dyDescent="0.25">
      <c r="A925" s="116"/>
      <c r="B925" s="114"/>
      <c r="C925" s="111" t="str">
        <f t="shared" si="44"/>
        <v/>
      </c>
      <c r="D925" s="117"/>
      <c r="E925" s="113" t="str">
        <f t="shared" si="42"/>
        <v/>
      </c>
      <c r="F925" s="111" t="str">
        <f t="shared" si="43"/>
        <v/>
      </c>
    </row>
    <row r="926" spans="1:6" x14ac:dyDescent="0.25">
      <c r="A926" s="116"/>
      <c r="B926" s="114"/>
      <c r="C926" s="111" t="str">
        <f t="shared" si="44"/>
        <v/>
      </c>
      <c r="D926" s="117"/>
      <c r="E926" s="113" t="str">
        <f t="shared" si="42"/>
        <v/>
      </c>
      <c r="F926" s="111" t="str">
        <f t="shared" si="43"/>
        <v/>
      </c>
    </row>
    <row r="927" spans="1:6" x14ac:dyDescent="0.25">
      <c r="A927" s="116"/>
      <c r="B927" s="114"/>
      <c r="C927" s="111" t="str">
        <f t="shared" si="44"/>
        <v/>
      </c>
      <c r="D927" s="117"/>
      <c r="E927" s="113" t="str">
        <f t="shared" si="42"/>
        <v/>
      </c>
      <c r="F927" s="111" t="str">
        <f t="shared" si="43"/>
        <v/>
      </c>
    </row>
    <row r="928" spans="1:6" x14ac:dyDescent="0.25">
      <c r="A928" s="116"/>
      <c r="B928" s="114"/>
      <c r="C928" s="111" t="str">
        <f t="shared" si="44"/>
        <v/>
      </c>
      <c r="D928" s="117"/>
      <c r="E928" s="113" t="str">
        <f t="shared" si="42"/>
        <v/>
      </c>
      <c r="F928" s="111" t="str">
        <f t="shared" si="43"/>
        <v/>
      </c>
    </row>
    <row r="929" spans="1:6" x14ac:dyDescent="0.25">
      <c r="A929" s="116"/>
      <c r="B929" s="114"/>
      <c r="C929" s="111" t="str">
        <f t="shared" si="44"/>
        <v/>
      </c>
      <c r="D929" s="117"/>
      <c r="E929" s="113" t="str">
        <f t="shared" si="42"/>
        <v/>
      </c>
      <c r="F929" s="111" t="str">
        <f t="shared" si="43"/>
        <v/>
      </c>
    </row>
    <row r="930" spans="1:6" x14ac:dyDescent="0.25">
      <c r="A930" s="116"/>
      <c r="B930" s="114"/>
      <c r="C930" s="111" t="str">
        <f t="shared" si="44"/>
        <v/>
      </c>
      <c r="D930" s="117"/>
      <c r="E930" s="113" t="str">
        <f t="shared" si="42"/>
        <v/>
      </c>
      <c r="F930" s="111" t="str">
        <f t="shared" si="43"/>
        <v/>
      </c>
    </row>
    <row r="931" spans="1:6" x14ac:dyDescent="0.25">
      <c r="A931" s="116"/>
      <c r="B931" s="114"/>
      <c r="C931" s="111" t="str">
        <f t="shared" si="44"/>
        <v/>
      </c>
      <c r="D931" s="117"/>
      <c r="E931" s="113" t="str">
        <f t="shared" si="42"/>
        <v/>
      </c>
      <c r="F931" s="111" t="str">
        <f t="shared" si="43"/>
        <v/>
      </c>
    </row>
    <row r="932" spans="1:6" x14ac:dyDescent="0.25">
      <c r="A932" s="116"/>
      <c r="B932" s="114"/>
      <c r="C932" s="111" t="str">
        <f t="shared" si="44"/>
        <v/>
      </c>
      <c r="D932" s="117"/>
      <c r="E932" s="113" t="str">
        <f t="shared" si="42"/>
        <v/>
      </c>
      <c r="F932" s="111" t="str">
        <f t="shared" si="43"/>
        <v/>
      </c>
    </row>
    <row r="933" spans="1:6" x14ac:dyDescent="0.25">
      <c r="A933" s="116"/>
      <c r="B933" s="114"/>
      <c r="C933" s="111" t="str">
        <f t="shared" si="44"/>
        <v/>
      </c>
      <c r="D933" s="117"/>
      <c r="E933" s="113" t="str">
        <f t="shared" si="42"/>
        <v/>
      </c>
      <c r="F933" s="111" t="str">
        <f t="shared" si="43"/>
        <v/>
      </c>
    </row>
    <row r="934" spans="1:6" x14ac:dyDescent="0.25">
      <c r="A934" s="116"/>
      <c r="B934" s="114"/>
      <c r="C934" s="111" t="str">
        <f t="shared" si="44"/>
        <v/>
      </c>
      <c r="D934" s="117"/>
      <c r="E934" s="113" t="str">
        <f t="shared" si="42"/>
        <v/>
      </c>
      <c r="F934" s="111" t="str">
        <f t="shared" si="43"/>
        <v/>
      </c>
    </row>
    <row r="935" spans="1:6" x14ac:dyDescent="0.25">
      <c r="A935" s="116"/>
      <c r="B935" s="114"/>
      <c r="C935" s="111" t="str">
        <f t="shared" si="44"/>
        <v/>
      </c>
      <c r="D935" s="117"/>
      <c r="E935" s="113" t="str">
        <f t="shared" si="42"/>
        <v/>
      </c>
      <c r="F935" s="111" t="str">
        <f t="shared" si="43"/>
        <v/>
      </c>
    </row>
    <row r="936" spans="1:6" x14ac:dyDescent="0.25">
      <c r="A936" s="116"/>
      <c r="B936" s="114"/>
      <c r="C936" s="111" t="str">
        <f t="shared" si="44"/>
        <v/>
      </c>
      <c r="D936" s="117"/>
      <c r="E936" s="113" t="str">
        <f t="shared" si="42"/>
        <v/>
      </c>
      <c r="F936" s="111" t="str">
        <f t="shared" si="43"/>
        <v/>
      </c>
    </row>
    <row r="937" spans="1:6" x14ac:dyDescent="0.25">
      <c r="A937" s="116"/>
      <c r="B937" s="114"/>
      <c r="C937" s="111" t="str">
        <f t="shared" si="44"/>
        <v/>
      </c>
      <c r="D937" s="117"/>
      <c r="E937" s="113" t="str">
        <f t="shared" si="42"/>
        <v/>
      </c>
      <c r="F937" s="111" t="str">
        <f t="shared" si="43"/>
        <v/>
      </c>
    </row>
    <row r="938" spans="1:6" x14ac:dyDescent="0.25">
      <c r="A938" s="116"/>
      <c r="B938" s="114"/>
      <c r="C938" s="111" t="str">
        <f t="shared" si="44"/>
        <v/>
      </c>
      <c r="D938" s="117"/>
      <c r="E938" s="113" t="str">
        <f t="shared" si="42"/>
        <v/>
      </c>
      <c r="F938" s="111" t="str">
        <f t="shared" si="43"/>
        <v/>
      </c>
    </row>
    <row r="939" spans="1:6" x14ac:dyDescent="0.25">
      <c r="A939" s="116"/>
      <c r="B939" s="114"/>
      <c r="C939" s="111" t="str">
        <f t="shared" si="44"/>
        <v/>
      </c>
      <c r="D939" s="117"/>
      <c r="E939" s="113" t="str">
        <f t="shared" si="42"/>
        <v/>
      </c>
      <c r="F939" s="111" t="str">
        <f t="shared" si="43"/>
        <v/>
      </c>
    </row>
    <row r="940" spans="1:6" x14ac:dyDescent="0.25">
      <c r="A940" s="116"/>
      <c r="B940" s="114"/>
      <c r="C940" s="111" t="str">
        <f t="shared" si="44"/>
        <v/>
      </c>
      <c r="D940" s="117"/>
      <c r="E940" s="113" t="str">
        <f t="shared" si="42"/>
        <v/>
      </c>
      <c r="F940" s="111" t="str">
        <f t="shared" si="43"/>
        <v/>
      </c>
    </row>
    <row r="941" spans="1:6" x14ac:dyDescent="0.25">
      <c r="A941" s="116"/>
      <c r="B941" s="114"/>
      <c r="C941" s="111" t="str">
        <f t="shared" si="44"/>
        <v/>
      </c>
      <c r="D941" s="117"/>
      <c r="E941" s="113" t="str">
        <f t="shared" si="42"/>
        <v/>
      </c>
      <c r="F941" s="111" t="str">
        <f t="shared" si="43"/>
        <v/>
      </c>
    </row>
    <row r="942" spans="1:6" x14ac:dyDescent="0.25">
      <c r="A942" s="116"/>
      <c r="B942" s="114"/>
      <c r="C942" s="111" t="str">
        <f t="shared" si="44"/>
        <v/>
      </c>
      <c r="D942" s="117"/>
      <c r="E942" s="113" t="str">
        <f t="shared" si="42"/>
        <v/>
      </c>
      <c r="F942" s="111" t="str">
        <f t="shared" si="43"/>
        <v/>
      </c>
    </row>
    <row r="943" spans="1:6" x14ac:dyDescent="0.25">
      <c r="A943" s="116"/>
      <c r="B943" s="114"/>
      <c r="C943" s="111" t="str">
        <f t="shared" si="44"/>
        <v/>
      </c>
      <c r="D943" s="117"/>
      <c r="E943" s="113" t="str">
        <f t="shared" si="42"/>
        <v/>
      </c>
      <c r="F943" s="111" t="str">
        <f t="shared" si="43"/>
        <v/>
      </c>
    </row>
    <row r="944" spans="1:6" x14ac:dyDescent="0.25">
      <c r="A944" s="116"/>
      <c r="B944" s="114"/>
      <c r="C944" s="111" t="str">
        <f t="shared" si="44"/>
        <v/>
      </c>
      <c r="D944" s="117"/>
      <c r="E944" s="113" t="str">
        <f t="shared" si="42"/>
        <v/>
      </c>
      <c r="F944" s="111" t="str">
        <f t="shared" si="43"/>
        <v/>
      </c>
    </row>
    <row r="945" spans="1:6" x14ac:dyDescent="0.25">
      <c r="A945" s="116"/>
      <c r="B945" s="114"/>
      <c r="C945" s="111" t="str">
        <f t="shared" si="44"/>
        <v/>
      </c>
      <c r="D945" s="117"/>
      <c r="E945" s="113" t="str">
        <f t="shared" si="42"/>
        <v/>
      </c>
      <c r="F945" s="111" t="str">
        <f t="shared" si="43"/>
        <v/>
      </c>
    </row>
    <row r="946" spans="1:6" x14ac:dyDescent="0.25">
      <c r="A946" s="116"/>
      <c r="B946" s="114"/>
      <c r="C946" s="111" t="str">
        <f t="shared" si="44"/>
        <v/>
      </c>
      <c r="D946" s="117"/>
      <c r="E946" s="113" t="str">
        <f t="shared" si="42"/>
        <v/>
      </c>
      <c r="F946" s="111" t="str">
        <f t="shared" si="43"/>
        <v/>
      </c>
    </row>
    <row r="947" spans="1:6" x14ac:dyDescent="0.25">
      <c r="A947" s="116"/>
      <c r="B947" s="114"/>
      <c r="C947" s="111" t="str">
        <f t="shared" si="44"/>
        <v/>
      </c>
      <c r="D947" s="117"/>
      <c r="E947" s="113" t="str">
        <f t="shared" si="42"/>
        <v/>
      </c>
      <c r="F947" s="111" t="str">
        <f t="shared" si="43"/>
        <v/>
      </c>
    </row>
    <row r="948" spans="1:6" x14ac:dyDescent="0.25">
      <c r="A948" s="116"/>
      <c r="B948" s="114"/>
      <c r="C948" s="111" t="str">
        <f t="shared" si="44"/>
        <v/>
      </c>
      <c r="D948" s="117"/>
      <c r="E948" s="113" t="str">
        <f t="shared" si="42"/>
        <v/>
      </c>
      <c r="F948" s="111" t="str">
        <f t="shared" si="43"/>
        <v/>
      </c>
    </row>
    <row r="949" spans="1:6" x14ac:dyDescent="0.25">
      <c r="A949" s="116"/>
      <c r="B949" s="114"/>
      <c r="C949" s="111" t="str">
        <f t="shared" si="44"/>
        <v/>
      </c>
      <c r="D949" s="117"/>
      <c r="E949" s="113" t="str">
        <f t="shared" si="42"/>
        <v/>
      </c>
      <c r="F949" s="111" t="str">
        <f t="shared" si="43"/>
        <v/>
      </c>
    </row>
    <row r="950" spans="1:6" x14ac:dyDescent="0.25">
      <c r="A950" s="116"/>
      <c r="B950" s="114"/>
      <c r="C950" s="111" t="str">
        <f t="shared" si="44"/>
        <v/>
      </c>
      <c r="D950" s="117"/>
      <c r="E950" s="113" t="str">
        <f t="shared" si="42"/>
        <v/>
      </c>
      <c r="F950" s="111" t="str">
        <f t="shared" si="43"/>
        <v/>
      </c>
    </row>
    <row r="951" spans="1:6" x14ac:dyDescent="0.25">
      <c r="A951" s="116"/>
      <c r="B951" s="114"/>
      <c r="C951" s="111" t="str">
        <f t="shared" si="44"/>
        <v/>
      </c>
      <c r="D951" s="117"/>
      <c r="E951" s="113" t="str">
        <f t="shared" si="42"/>
        <v/>
      </c>
      <c r="F951" s="111" t="str">
        <f t="shared" si="43"/>
        <v/>
      </c>
    </row>
    <row r="952" spans="1:6" x14ac:dyDescent="0.25">
      <c r="A952" s="116"/>
      <c r="B952" s="114"/>
      <c r="C952" s="111" t="str">
        <f t="shared" si="44"/>
        <v/>
      </c>
      <c r="D952" s="117"/>
      <c r="E952" s="113" t="str">
        <f t="shared" si="42"/>
        <v/>
      </c>
      <c r="F952" s="111" t="str">
        <f t="shared" si="43"/>
        <v/>
      </c>
    </row>
    <row r="953" spans="1:6" x14ac:dyDescent="0.25">
      <c r="A953" s="116"/>
      <c r="B953" s="114"/>
      <c r="C953" s="111" t="str">
        <f t="shared" si="44"/>
        <v/>
      </c>
      <c r="D953" s="117"/>
      <c r="E953" s="113" t="str">
        <f t="shared" si="42"/>
        <v/>
      </c>
      <c r="F953" s="111" t="str">
        <f t="shared" si="43"/>
        <v/>
      </c>
    </row>
    <row r="954" spans="1:6" x14ac:dyDescent="0.25">
      <c r="A954" s="116"/>
      <c r="B954" s="114"/>
      <c r="C954" s="111" t="str">
        <f t="shared" si="44"/>
        <v/>
      </c>
      <c r="D954" s="117"/>
      <c r="E954" s="113" t="str">
        <f t="shared" si="42"/>
        <v/>
      </c>
      <c r="F954" s="111" t="str">
        <f t="shared" si="43"/>
        <v/>
      </c>
    </row>
    <row r="955" spans="1:6" x14ac:dyDescent="0.25">
      <c r="A955" s="116"/>
      <c r="B955" s="114"/>
      <c r="C955" s="111" t="str">
        <f t="shared" si="44"/>
        <v/>
      </c>
      <c r="D955" s="117"/>
      <c r="E955" s="113" t="str">
        <f t="shared" si="42"/>
        <v/>
      </c>
      <c r="F955" s="111" t="str">
        <f t="shared" si="43"/>
        <v/>
      </c>
    </row>
    <row r="956" spans="1:6" x14ac:dyDescent="0.25">
      <c r="A956" s="116"/>
      <c r="B956" s="114"/>
      <c r="C956" s="111" t="str">
        <f t="shared" si="44"/>
        <v/>
      </c>
      <c r="D956" s="117"/>
      <c r="E956" s="113" t="str">
        <f t="shared" si="42"/>
        <v/>
      </c>
      <c r="F956" s="111" t="str">
        <f t="shared" si="43"/>
        <v/>
      </c>
    </row>
    <row r="957" spans="1:6" x14ac:dyDescent="0.25">
      <c r="A957" s="116"/>
      <c r="B957" s="114"/>
      <c r="C957" s="111" t="str">
        <f t="shared" si="44"/>
        <v/>
      </c>
      <c r="D957" s="117"/>
      <c r="E957" s="113" t="str">
        <f t="shared" si="42"/>
        <v/>
      </c>
      <c r="F957" s="111" t="str">
        <f t="shared" si="43"/>
        <v/>
      </c>
    </row>
    <row r="958" spans="1:6" x14ac:dyDescent="0.25">
      <c r="A958" s="116"/>
      <c r="B958" s="114"/>
      <c r="C958" s="111" t="str">
        <f t="shared" si="44"/>
        <v/>
      </c>
      <c r="D958" s="117"/>
      <c r="E958" s="113" t="str">
        <f t="shared" si="42"/>
        <v/>
      </c>
      <c r="F958" s="111" t="str">
        <f t="shared" si="43"/>
        <v/>
      </c>
    </row>
    <row r="959" spans="1:6" x14ac:dyDescent="0.25">
      <c r="A959" s="116"/>
      <c r="B959" s="114"/>
      <c r="C959" s="111" t="str">
        <f t="shared" si="44"/>
        <v/>
      </c>
      <c r="D959" s="117"/>
      <c r="E959" s="113" t="str">
        <f t="shared" si="42"/>
        <v/>
      </c>
      <c r="F959" s="111" t="str">
        <f t="shared" si="43"/>
        <v/>
      </c>
    </row>
    <row r="960" spans="1:6" x14ac:dyDescent="0.25">
      <c r="A960" s="116"/>
      <c r="B960" s="114"/>
      <c r="C960" s="111" t="str">
        <f t="shared" si="44"/>
        <v/>
      </c>
      <c r="D960" s="117"/>
      <c r="E960" s="113" t="str">
        <f t="shared" si="42"/>
        <v/>
      </c>
      <c r="F960" s="111" t="str">
        <f t="shared" si="43"/>
        <v/>
      </c>
    </row>
    <row r="961" spans="1:6" x14ac:dyDescent="0.25">
      <c r="A961" s="116"/>
      <c r="B961" s="114"/>
      <c r="C961" s="111" t="str">
        <f t="shared" si="44"/>
        <v/>
      </c>
      <c r="D961" s="117"/>
      <c r="E961" s="113" t="str">
        <f t="shared" si="42"/>
        <v/>
      </c>
      <c r="F961" s="111" t="str">
        <f t="shared" si="43"/>
        <v/>
      </c>
    </row>
    <row r="962" spans="1:6" x14ac:dyDescent="0.25">
      <c r="A962" s="116"/>
      <c r="B962" s="114"/>
      <c r="C962" s="111" t="str">
        <f t="shared" si="44"/>
        <v/>
      </c>
      <c r="D962" s="117"/>
      <c r="E962" s="113" t="str">
        <f t="shared" si="42"/>
        <v/>
      </c>
      <c r="F962" s="111" t="str">
        <f t="shared" si="43"/>
        <v/>
      </c>
    </row>
    <row r="963" spans="1:6" x14ac:dyDescent="0.25">
      <c r="A963" s="116"/>
      <c r="B963" s="114"/>
      <c r="C963" s="111" t="str">
        <f t="shared" si="44"/>
        <v/>
      </c>
      <c r="D963" s="117"/>
      <c r="E963" s="113" t="str">
        <f t="shared" ref="E963:E1000" si="45">IFERROR(MATCH(A963,$D$2:$D$1000,),"")</f>
        <v/>
      </c>
      <c r="F963" s="111" t="str">
        <f t="shared" ref="F963:F1000" si="46">IF(E963&lt;&gt;"",INDEX($D$2:$D$1000,E963,1),"")</f>
        <v/>
      </c>
    </row>
    <row r="964" spans="1:6" x14ac:dyDescent="0.25">
      <c r="A964" s="116"/>
      <c r="B964" s="114"/>
      <c r="C964" s="111" t="str">
        <f t="shared" si="44"/>
        <v/>
      </c>
      <c r="D964" s="117"/>
      <c r="E964" s="113" t="str">
        <f t="shared" si="45"/>
        <v/>
      </c>
      <c r="F964" s="111" t="str">
        <f t="shared" si="46"/>
        <v/>
      </c>
    </row>
    <row r="965" spans="1:6" x14ac:dyDescent="0.25">
      <c r="A965" s="116"/>
      <c r="B965" s="114"/>
      <c r="C965" s="111" t="str">
        <f t="shared" si="44"/>
        <v/>
      </c>
      <c r="D965" s="117"/>
      <c r="E965" s="113" t="str">
        <f t="shared" si="45"/>
        <v/>
      </c>
      <c r="F965" s="111" t="str">
        <f t="shared" si="46"/>
        <v/>
      </c>
    </row>
    <row r="966" spans="1:6" x14ac:dyDescent="0.25">
      <c r="A966" s="116"/>
      <c r="B966" s="114"/>
      <c r="C966" s="111" t="str">
        <f t="shared" si="44"/>
        <v/>
      </c>
      <c r="D966" s="117"/>
      <c r="E966" s="113" t="str">
        <f t="shared" si="45"/>
        <v/>
      </c>
      <c r="F966" s="111" t="str">
        <f t="shared" si="46"/>
        <v/>
      </c>
    </row>
    <row r="967" spans="1:6" x14ac:dyDescent="0.25">
      <c r="A967" s="116"/>
      <c r="B967" s="114"/>
      <c r="C967" s="111" t="str">
        <f t="shared" si="44"/>
        <v/>
      </c>
      <c r="D967" s="117"/>
      <c r="E967" s="113" t="str">
        <f t="shared" si="45"/>
        <v/>
      </c>
      <c r="F967" s="111" t="str">
        <f t="shared" si="46"/>
        <v/>
      </c>
    </row>
    <row r="968" spans="1:6" x14ac:dyDescent="0.25">
      <c r="A968" s="116"/>
      <c r="B968" s="114"/>
      <c r="C968" s="111" t="str">
        <f t="shared" si="44"/>
        <v/>
      </c>
      <c r="D968" s="117"/>
      <c r="E968" s="113" t="str">
        <f t="shared" si="45"/>
        <v/>
      </c>
      <c r="F968" s="111" t="str">
        <f t="shared" si="46"/>
        <v/>
      </c>
    </row>
    <row r="969" spans="1:6" x14ac:dyDescent="0.25">
      <c r="A969" s="116"/>
      <c r="B969" s="114"/>
      <c r="C969" s="111" t="str">
        <f t="shared" si="44"/>
        <v/>
      </c>
      <c r="D969" s="117"/>
      <c r="E969" s="113" t="str">
        <f t="shared" si="45"/>
        <v/>
      </c>
      <c r="F969" s="111" t="str">
        <f t="shared" si="46"/>
        <v/>
      </c>
    </row>
    <row r="970" spans="1:6" x14ac:dyDescent="0.25">
      <c r="A970" s="116"/>
      <c r="B970" s="114"/>
      <c r="C970" s="111" t="str">
        <f t="shared" ref="C970:C1007" si="47">IF(ISNA(VLOOKUP(B970,$A$1:$A$1000,1,FALSE)),"","Yes")</f>
        <v/>
      </c>
      <c r="D970" s="117"/>
      <c r="E970" s="113" t="str">
        <f t="shared" si="45"/>
        <v/>
      </c>
      <c r="F970" s="111" t="str">
        <f t="shared" si="46"/>
        <v/>
      </c>
    </row>
    <row r="971" spans="1:6" x14ac:dyDescent="0.25">
      <c r="A971" s="116"/>
      <c r="B971" s="114"/>
      <c r="C971" s="111" t="str">
        <f t="shared" si="47"/>
        <v/>
      </c>
      <c r="D971" s="117"/>
      <c r="E971" s="113" t="str">
        <f t="shared" si="45"/>
        <v/>
      </c>
      <c r="F971" s="111" t="str">
        <f t="shared" si="46"/>
        <v/>
      </c>
    </row>
    <row r="972" spans="1:6" x14ac:dyDescent="0.25">
      <c r="A972" s="116"/>
      <c r="B972" s="114"/>
      <c r="C972" s="111" t="str">
        <f t="shared" si="47"/>
        <v/>
      </c>
      <c r="D972" s="117"/>
      <c r="E972" s="113" t="str">
        <f t="shared" si="45"/>
        <v/>
      </c>
      <c r="F972" s="111" t="str">
        <f t="shared" si="46"/>
        <v/>
      </c>
    </row>
    <row r="973" spans="1:6" x14ac:dyDescent="0.25">
      <c r="A973" s="116"/>
      <c r="B973" s="114"/>
      <c r="C973" s="111" t="str">
        <f t="shared" si="47"/>
        <v/>
      </c>
      <c r="D973" s="117"/>
      <c r="E973" s="113" t="str">
        <f t="shared" si="45"/>
        <v/>
      </c>
      <c r="F973" s="111" t="str">
        <f t="shared" si="46"/>
        <v/>
      </c>
    </row>
    <row r="974" spans="1:6" x14ac:dyDescent="0.25">
      <c r="A974" s="116"/>
      <c r="B974" s="114"/>
      <c r="C974" s="111" t="str">
        <f t="shared" si="47"/>
        <v/>
      </c>
      <c r="D974" s="117"/>
      <c r="E974" s="113" t="str">
        <f t="shared" si="45"/>
        <v/>
      </c>
      <c r="F974" s="111" t="str">
        <f t="shared" si="46"/>
        <v/>
      </c>
    </row>
    <row r="975" spans="1:6" x14ac:dyDescent="0.25">
      <c r="A975" s="116"/>
      <c r="B975" s="114"/>
      <c r="C975" s="111" t="str">
        <f t="shared" si="47"/>
        <v/>
      </c>
      <c r="D975" s="117"/>
      <c r="E975" s="113" t="str">
        <f t="shared" si="45"/>
        <v/>
      </c>
      <c r="F975" s="111" t="str">
        <f t="shared" si="46"/>
        <v/>
      </c>
    </row>
    <row r="976" spans="1:6" x14ac:dyDescent="0.25">
      <c r="A976" s="116"/>
      <c r="B976" s="114"/>
      <c r="C976" s="111" t="str">
        <f t="shared" si="47"/>
        <v/>
      </c>
      <c r="D976" s="117"/>
      <c r="E976" s="113" t="str">
        <f t="shared" si="45"/>
        <v/>
      </c>
      <c r="F976" s="111" t="str">
        <f t="shared" si="46"/>
        <v/>
      </c>
    </row>
    <row r="977" spans="1:6" x14ac:dyDescent="0.25">
      <c r="A977" s="116"/>
      <c r="B977" s="114"/>
      <c r="C977" s="111" t="str">
        <f t="shared" si="47"/>
        <v/>
      </c>
      <c r="D977" s="117"/>
      <c r="E977" s="113" t="str">
        <f t="shared" si="45"/>
        <v/>
      </c>
      <c r="F977" s="111" t="str">
        <f t="shared" si="46"/>
        <v/>
      </c>
    </row>
    <row r="978" spans="1:6" x14ac:dyDescent="0.25">
      <c r="A978" s="116"/>
      <c r="B978" s="114"/>
      <c r="C978" s="111" t="str">
        <f t="shared" si="47"/>
        <v/>
      </c>
      <c r="D978" s="117"/>
      <c r="E978" s="113" t="str">
        <f t="shared" si="45"/>
        <v/>
      </c>
      <c r="F978" s="111" t="str">
        <f t="shared" si="46"/>
        <v/>
      </c>
    </row>
    <row r="979" spans="1:6" x14ac:dyDescent="0.25">
      <c r="A979" s="116"/>
      <c r="B979" s="114"/>
      <c r="C979" s="111" t="str">
        <f t="shared" si="47"/>
        <v/>
      </c>
      <c r="D979" s="117"/>
      <c r="E979" s="113" t="str">
        <f t="shared" si="45"/>
        <v/>
      </c>
      <c r="F979" s="111" t="str">
        <f t="shared" si="46"/>
        <v/>
      </c>
    </row>
    <row r="980" spans="1:6" x14ac:dyDescent="0.25">
      <c r="A980" s="116"/>
      <c r="B980" s="114"/>
      <c r="C980" s="111" t="str">
        <f t="shared" si="47"/>
        <v/>
      </c>
      <c r="D980" s="117"/>
      <c r="E980" s="113" t="str">
        <f t="shared" si="45"/>
        <v/>
      </c>
      <c r="F980" s="111" t="str">
        <f t="shared" si="46"/>
        <v/>
      </c>
    </row>
    <row r="981" spans="1:6" x14ac:dyDescent="0.25">
      <c r="A981" s="116"/>
      <c r="B981" s="114"/>
      <c r="C981" s="111" t="str">
        <f t="shared" si="47"/>
        <v/>
      </c>
      <c r="D981" s="117"/>
      <c r="E981" s="113" t="str">
        <f t="shared" si="45"/>
        <v/>
      </c>
      <c r="F981" s="111" t="str">
        <f t="shared" si="46"/>
        <v/>
      </c>
    </row>
    <row r="982" spans="1:6" x14ac:dyDescent="0.25">
      <c r="A982" s="116"/>
      <c r="B982" s="114"/>
      <c r="C982" s="111" t="str">
        <f t="shared" si="47"/>
        <v/>
      </c>
      <c r="D982" s="117"/>
      <c r="E982" s="113" t="str">
        <f t="shared" si="45"/>
        <v/>
      </c>
      <c r="F982" s="111" t="str">
        <f t="shared" si="46"/>
        <v/>
      </c>
    </row>
    <row r="983" spans="1:6" x14ac:dyDescent="0.25">
      <c r="A983" s="116"/>
      <c r="B983" s="114"/>
      <c r="C983" s="111" t="str">
        <f t="shared" si="47"/>
        <v/>
      </c>
      <c r="D983" s="117"/>
      <c r="E983" s="113" t="str">
        <f t="shared" si="45"/>
        <v/>
      </c>
      <c r="F983" s="111" t="str">
        <f t="shared" si="46"/>
        <v/>
      </c>
    </row>
    <row r="984" spans="1:6" x14ac:dyDescent="0.25">
      <c r="A984" s="116"/>
      <c r="B984" s="114"/>
      <c r="C984" s="111" t="str">
        <f t="shared" si="47"/>
        <v/>
      </c>
      <c r="D984" s="117"/>
      <c r="E984" s="113" t="str">
        <f t="shared" si="45"/>
        <v/>
      </c>
      <c r="F984" s="111" t="str">
        <f t="shared" si="46"/>
        <v/>
      </c>
    </row>
    <row r="985" spans="1:6" x14ac:dyDescent="0.25">
      <c r="A985" s="116"/>
      <c r="B985" s="114"/>
      <c r="C985" s="111" t="str">
        <f t="shared" si="47"/>
        <v/>
      </c>
      <c r="D985" s="117"/>
      <c r="E985" s="113" t="str">
        <f t="shared" si="45"/>
        <v/>
      </c>
      <c r="F985" s="111" t="str">
        <f t="shared" si="46"/>
        <v/>
      </c>
    </row>
    <row r="986" spans="1:6" x14ac:dyDescent="0.25">
      <c r="A986" s="116"/>
      <c r="B986" s="114"/>
      <c r="C986" s="111" t="str">
        <f t="shared" si="47"/>
        <v/>
      </c>
      <c r="D986" s="117"/>
      <c r="E986" s="113" t="str">
        <f t="shared" si="45"/>
        <v/>
      </c>
      <c r="F986" s="111" t="str">
        <f t="shared" si="46"/>
        <v/>
      </c>
    </row>
    <row r="987" spans="1:6" x14ac:dyDescent="0.25">
      <c r="A987" s="116"/>
      <c r="B987" s="114"/>
      <c r="C987" s="111" t="str">
        <f t="shared" si="47"/>
        <v/>
      </c>
      <c r="D987" s="117"/>
      <c r="E987" s="113" t="str">
        <f t="shared" si="45"/>
        <v/>
      </c>
      <c r="F987" s="111" t="str">
        <f t="shared" si="46"/>
        <v/>
      </c>
    </row>
    <row r="988" spans="1:6" x14ac:dyDescent="0.25">
      <c r="A988" s="116"/>
      <c r="B988" s="114"/>
      <c r="C988" s="111" t="str">
        <f t="shared" si="47"/>
        <v/>
      </c>
      <c r="D988" s="117"/>
      <c r="E988" s="113" t="str">
        <f t="shared" si="45"/>
        <v/>
      </c>
      <c r="F988" s="111" t="str">
        <f t="shared" si="46"/>
        <v/>
      </c>
    </row>
    <row r="989" spans="1:6" x14ac:dyDescent="0.25">
      <c r="A989" s="116"/>
      <c r="B989" s="114"/>
      <c r="C989" s="111" t="str">
        <f t="shared" si="47"/>
        <v/>
      </c>
      <c r="D989" s="117"/>
      <c r="E989" s="113" t="str">
        <f t="shared" si="45"/>
        <v/>
      </c>
      <c r="F989" s="111" t="str">
        <f t="shared" si="46"/>
        <v/>
      </c>
    </row>
    <row r="990" spans="1:6" x14ac:dyDescent="0.25">
      <c r="A990" s="116"/>
      <c r="B990" s="114"/>
      <c r="C990" s="111" t="str">
        <f t="shared" si="47"/>
        <v/>
      </c>
      <c r="D990" s="117"/>
      <c r="E990" s="113" t="str">
        <f t="shared" si="45"/>
        <v/>
      </c>
      <c r="F990" s="111" t="str">
        <f t="shared" si="46"/>
        <v/>
      </c>
    </row>
    <row r="991" spans="1:6" x14ac:dyDescent="0.25">
      <c r="A991" s="116"/>
      <c r="B991" s="114"/>
      <c r="C991" s="111" t="str">
        <f t="shared" si="47"/>
        <v/>
      </c>
      <c r="D991" s="117"/>
      <c r="E991" s="113" t="str">
        <f t="shared" si="45"/>
        <v/>
      </c>
      <c r="F991" s="111" t="str">
        <f t="shared" si="46"/>
        <v/>
      </c>
    </row>
    <row r="992" spans="1:6" x14ac:dyDescent="0.25">
      <c r="A992" s="116"/>
      <c r="B992" s="114"/>
      <c r="C992" s="111" t="str">
        <f t="shared" si="47"/>
        <v/>
      </c>
      <c r="D992" s="117"/>
      <c r="E992" s="113" t="str">
        <f t="shared" si="45"/>
        <v/>
      </c>
      <c r="F992" s="111" t="str">
        <f t="shared" si="46"/>
        <v/>
      </c>
    </row>
    <row r="993" spans="1:6" x14ac:dyDescent="0.25">
      <c r="A993" s="116"/>
      <c r="B993" s="114"/>
      <c r="C993" s="111" t="str">
        <f t="shared" si="47"/>
        <v/>
      </c>
      <c r="D993" s="117"/>
      <c r="E993" s="113" t="str">
        <f t="shared" si="45"/>
        <v/>
      </c>
      <c r="F993" s="111" t="str">
        <f t="shared" si="46"/>
        <v/>
      </c>
    </row>
    <row r="994" spans="1:6" x14ac:dyDescent="0.25">
      <c r="A994" s="116"/>
      <c r="B994" s="114"/>
      <c r="C994" s="111" t="str">
        <f t="shared" si="47"/>
        <v/>
      </c>
      <c r="D994" s="117"/>
      <c r="E994" s="113" t="str">
        <f t="shared" si="45"/>
        <v/>
      </c>
      <c r="F994" s="111" t="str">
        <f t="shared" si="46"/>
        <v/>
      </c>
    </row>
    <row r="995" spans="1:6" x14ac:dyDescent="0.25">
      <c r="A995" s="116"/>
      <c r="B995" s="114"/>
      <c r="C995" s="111" t="str">
        <f t="shared" si="47"/>
        <v/>
      </c>
      <c r="D995" s="117"/>
      <c r="E995" s="113" t="str">
        <f t="shared" si="45"/>
        <v/>
      </c>
      <c r="F995" s="111" t="str">
        <f t="shared" si="46"/>
        <v/>
      </c>
    </row>
    <row r="996" spans="1:6" x14ac:dyDescent="0.25">
      <c r="A996" s="116"/>
      <c r="B996" s="114"/>
      <c r="C996" s="111" t="str">
        <f t="shared" si="47"/>
        <v/>
      </c>
      <c r="D996" s="117"/>
      <c r="E996" s="113" t="str">
        <f t="shared" si="45"/>
        <v/>
      </c>
      <c r="F996" s="111" t="str">
        <f t="shared" si="46"/>
        <v/>
      </c>
    </row>
    <row r="997" spans="1:6" x14ac:dyDescent="0.25">
      <c r="A997" s="116"/>
      <c r="B997" s="114"/>
      <c r="C997" s="111" t="str">
        <f t="shared" si="47"/>
        <v/>
      </c>
      <c r="D997" s="117"/>
      <c r="E997" s="113" t="str">
        <f t="shared" si="45"/>
        <v/>
      </c>
      <c r="F997" s="111" t="str">
        <f t="shared" si="46"/>
        <v/>
      </c>
    </row>
    <row r="998" spans="1:6" x14ac:dyDescent="0.25">
      <c r="A998" s="116"/>
      <c r="B998" s="114"/>
      <c r="C998" s="111" t="str">
        <f t="shared" si="47"/>
        <v/>
      </c>
      <c r="D998" s="117"/>
      <c r="E998" s="113" t="str">
        <f t="shared" si="45"/>
        <v/>
      </c>
      <c r="F998" s="111" t="str">
        <f t="shared" si="46"/>
        <v/>
      </c>
    </row>
    <row r="999" spans="1:6" x14ac:dyDescent="0.25">
      <c r="A999" s="116"/>
      <c r="B999" s="114"/>
      <c r="C999" s="111" t="str">
        <f t="shared" si="47"/>
        <v/>
      </c>
      <c r="D999" s="117"/>
      <c r="E999" s="113" t="str">
        <f t="shared" si="45"/>
        <v/>
      </c>
      <c r="F999" s="111" t="str">
        <f t="shared" si="46"/>
        <v/>
      </c>
    </row>
    <row r="1000" spans="1:6" x14ac:dyDescent="0.25">
      <c r="A1000" s="116"/>
      <c r="B1000" s="114"/>
      <c r="C1000" s="111" t="str">
        <f t="shared" si="47"/>
        <v/>
      </c>
      <c r="D1000" s="117"/>
      <c r="E1000" s="113" t="str">
        <f t="shared" si="45"/>
        <v/>
      </c>
      <c r="F1000" s="111" t="str">
        <f t="shared" si="46"/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8"/>
  <sheetViews>
    <sheetView workbookViewId="0">
      <selection activeCell="J2" sqref="J2:J28"/>
    </sheetView>
  </sheetViews>
  <sheetFormatPr defaultRowHeight="15" x14ac:dyDescent="0.25"/>
  <cols>
    <col min="1" max="1" width="12.7109375" bestFit="1" customWidth="1"/>
    <col min="2" max="2" width="32.28515625" bestFit="1" customWidth="1"/>
    <col min="3" max="3" width="27.28515625" bestFit="1" customWidth="1"/>
    <col min="4" max="4" width="57.140625" bestFit="1" customWidth="1"/>
    <col min="5" max="5" width="32.140625" bestFit="1" customWidth="1"/>
    <col min="6" max="6" width="14.7109375" bestFit="1" customWidth="1"/>
    <col min="7" max="9" width="26.42578125" bestFit="1" customWidth="1"/>
    <col min="10" max="10" width="61.5703125" bestFit="1" customWidth="1"/>
  </cols>
  <sheetData>
    <row r="1" spans="1:10" x14ac:dyDescent="0.25">
      <c r="A1" s="33" t="s">
        <v>799</v>
      </c>
      <c r="B1" s="34" t="s">
        <v>800</v>
      </c>
      <c r="C1" s="33" t="s">
        <v>801</v>
      </c>
      <c r="D1" s="33" t="s">
        <v>802</v>
      </c>
      <c r="E1" s="33" t="s">
        <v>803</v>
      </c>
      <c r="F1" s="33" t="s">
        <v>804</v>
      </c>
      <c r="G1" s="33" t="s">
        <v>805</v>
      </c>
      <c r="H1" s="33" t="s">
        <v>805</v>
      </c>
      <c r="I1" s="33" t="s">
        <v>805</v>
      </c>
      <c r="J1" s="33" t="s">
        <v>806</v>
      </c>
    </row>
    <row r="2" spans="1:10" x14ac:dyDescent="0.25">
      <c r="A2" s="35" t="s">
        <v>149</v>
      </c>
      <c r="B2" s="36" t="s">
        <v>1028</v>
      </c>
      <c r="C2" s="38" t="str">
        <f t="shared" ref="C2:C28" si="0">CONCATENATE(A2,"/32")</f>
        <v>192.168.48.21/32</v>
      </c>
      <c r="D2" s="99" t="s">
        <v>807</v>
      </c>
      <c r="E2" s="38" t="str">
        <f>SUBSTITUTE(B2,"_", "")</f>
        <v>AN0021-RM22</v>
      </c>
      <c r="F2" s="38" t="str">
        <f>MID(E2,4,4)</f>
        <v>021-</v>
      </c>
      <c r="G2" s="38" t="str">
        <f>IF( LEFT(F2) = "0",RIGHT(F2, LEN(F2)-1),F2)</f>
        <v>21-</v>
      </c>
      <c r="H2" s="38" t="str">
        <f t="shared" ref="H2:I2" si="1">IF( LEFT(G2) = "0",RIGHT(G2, LEN(G2)-1),G2)</f>
        <v>21-</v>
      </c>
      <c r="I2" s="38" t="str">
        <f t="shared" si="1"/>
        <v>21-</v>
      </c>
      <c r="J2" s="37" t="str">
        <f>CONCATENATE(D2,I2)</f>
        <v>Device Type#All Device Types#Switch|Location#All Locations#21-</v>
      </c>
    </row>
    <row r="3" spans="1:10" x14ac:dyDescent="0.25">
      <c r="A3" s="35" t="s">
        <v>153</v>
      </c>
      <c r="B3" s="36" t="s">
        <v>1029</v>
      </c>
      <c r="C3" s="38" t="str">
        <f t="shared" si="0"/>
        <v>192.168.48.23/32</v>
      </c>
      <c r="D3" s="99" t="s">
        <v>807</v>
      </c>
      <c r="E3" s="38" t="str">
        <f t="shared" ref="E3:E28" si="2">SUBSTITUTE(B3,"_", "")</f>
        <v>AN0021-RM23</v>
      </c>
      <c r="F3" s="38" t="str">
        <f t="shared" ref="F3:F28" si="3">MID(E3,4,4)</f>
        <v>021-</v>
      </c>
      <c r="G3" s="38" t="str">
        <f t="shared" ref="G3:I13" si="4">IF( LEFT(F3) = "0",RIGHT(F3, LEN(F3)-1),F3)</f>
        <v>21-</v>
      </c>
      <c r="H3" s="38" t="str">
        <f t="shared" si="4"/>
        <v>21-</v>
      </c>
      <c r="I3" s="38" t="str">
        <f t="shared" si="4"/>
        <v>21-</v>
      </c>
      <c r="J3" s="37" t="str">
        <f t="shared" ref="J3:J28" si="5">CONCATENATE(D3,I3)</f>
        <v>Device Type#All Device Types#Switch|Location#All Locations#21-</v>
      </c>
    </row>
    <row r="4" spans="1:10" x14ac:dyDescent="0.25">
      <c r="A4" s="35" t="s">
        <v>155</v>
      </c>
      <c r="B4" s="36" t="s">
        <v>1030</v>
      </c>
      <c r="C4" s="38" t="str">
        <f t="shared" si="0"/>
        <v>192.168.48.24/32</v>
      </c>
      <c r="D4" s="99" t="s">
        <v>807</v>
      </c>
      <c r="E4" s="38" t="str">
        <f t="shared" si="2"/>
        <v>AN0021-RM24</v>
      </c>
      <c r="F4" s="38" t="str">
        <f t="shared" si="3"/>
        <v>021-</v>
      </c>
      <c r="G4" s="38" t="str">
        <f t="shared" si="4"/>
        <v>21-</v>
      </c>
      <c r="H4" s="38" t="str">
        <f t="shared" si="4"/>
        <v>21-</v>
      </c>
      <c r="I4" s="38" t="str">
        <f t="shared" si="4"/>
        <v>21-</v>
      </c>
      <c r="J4" s="37" t="str">
        <f t="shared" si="5"/>
        <v>Device Type#All Device Types#Switch|Location#All Locations#21-</v>
      </c>
    </row>
    <row r="5" spans="1:10" x14ac:dyDescent="0.25">
      <c r="A5" s="35" t="s">
        <v>165</v>
      </c>
      <c r="B5" s="36" t="s">
        <v>1031</v>
      </c>
      <c r="C5" s="38" t="str">
        <f t="shared" si="0"/>
        <v>192.168.48.29/32</v>
      </c>
      <c r="D5" s="99" t="s">
        <v>807</v>
      </c>
      <c r="E5" s="38" t="str">
        <f t="shared" si="2"/>
        <v>AN0021-RM25</v>
      </c>
      <c r="F5" s="38" t="str">
        <f t="shared" si="3"/>
        <v>021-</v>
      </c>
      <c r="G5" s="38" t="str">
        <f t="shared" si="4"/>
        <v>21-</v>
      </c>
      <c r="H5" s="38" t="str">
        <f t="shared" si="4"/>
        <v>21-</v>
      </c>
      <c r="I5" s="38" t="str">
        <f t="shared" si="4"/>
        <v>21-</v>
      </c>
      <c r="J5" s="37" t="str">
        <f t="shared" si="5"/>
        <v>Device Type#All Device Types#Switch|Location#All Locations#21-</v>
      </c>
    </row>
    <row r="6" spans="1:10" x14ac:dyDescent="0.25">
      <c r="A6" s="35" t="s">
        <v>167</v>
      </c>
      <c r="B6" s="36" t="s">
        <v>1032</v>
      </c>
      <c r="C6" s="38" t="str">
        <f t="shared" si="0"/>
        <v>192.168.48.30/32</v>
      </c>
      <c r="D6" s="99" t="s">
        <v>807</v>
      </c>
      <c r="E6" s="38" t="str">
        <f t="shared" si="2"/>
        <v>AN0021-RM26</v>
      </c>
      <c r="F6" s="38" t="str">
        <f t="shared" si="3"/>
        <v>021-</v>
      </c>
      <c r="G6" s="38" t="str">
        <f t="shared" si="4"/>
        <v>21-</v>
      </c>
      <c r="H6" s="38" t="str">
        <f t="shared" si="4"/>
        <v>21-</v>
      </c>
      <c r="I6" s="38" t="str">
        <f t="shared" si="4"/>
        <v>21-</v>
      </c>
      <c r="J6" s="37" t="str">
        <f t="shared" si="5"/>
        <v>Device Type#All Device Types#Switch|Location#All Locations#21-</v>
      </c>
    </row>
    <row r="7" spans="1:10" x14ac:dyDescent="0.25">
      <c r="A7" s="35" t="s">
        <v>168</v>
      </c>
      <c r="B7" s="36" t="s">
        <v>1033</v>
      </c>
      <c r="C7" s="38" t="str">
        <f t="shared" si="0"/>
        <v>192.168.48.31/32</v>
      </c>
      <c r="D7" s="99" t="s">
        <v>807</v>
      </c>
      <c r="E7" s="38" t="str">
        <f t="shared" si="2"/>
        <v>AN0021-RM27</v>
      </c>
      <c r="F7" s="38" t="str">
        <f t="shared" si="3"/>
        <v>021-</v>
      </c>
      <c r="G7" s="38" t="str">
        <f t="shared" si="4"/>
        <v>21-</v>
      </c>
      <c r="H7" s="38" t="str">
        <f t="shared" si="4"/>
        <v>21-</v>
      </c>
      <c r="I7" s="38" t="str">
        <f t="shared" si="4"/>
        <v>21-</v>
      </c>
      <c r="J7" s="37" t="str">
        <f t="shared" si="5"/>
        <v>Device Type#All Device Types#Switch|Location#All Locations#21-</v>
      </c>
    </row>
    <row r="8" spans="1:10" x14ac:dyDescent="0.25">
      <c r="A8" s="35" t="s">
        <v>169</v>
      </c>
      <c r="B8" s="36" t="s">
        <v>1034</v>
      </c>
      <c r="C8" s="38" t="str">
        <f t="shared" si="0"/>
        <v>192.168.48.33/32</v>
      </c>
      <c r="D8" s="99" t="s">
        <v>807</v>
      </c>
      <c r="E8" s="38" t="str">
        <f t="shared" si="2"/>
        <v>AN0021-RM28</v>
      </c>
      <c r="F8" s="38" t="str">
        <f t="shared" si="3"/>
        <v>021-</v>
      </c>
      <c r="G8" s="38" t="str">
        <f t="shared" si="4"/>
        <v>21-</v>
      </c>
      <c r="H8" s="38" t="str">
        <f t="shared" si="4"/>
        <v>21-</v>
      </c>
      <c r="I8" s="38" t="str">
        <f t="shared" si="4"/>
        <v>21-</v>
      </c>
      <c r="J8" s="37" t="str">
        <f t="shared" si="5"/>
        <v>Device Type#All Device Types#Switch|Location#All Locations#21-</v>
      </c>
    </row>
    <row r="9" spans="1:10" x14ac:dyDescent="0.25">
      <c r="A9" s="35" t="s">
        <v>170</v>
      </c>
      <c r="B9" s="36" t="s">
        <v>1035</v>
      </c>
      <c r="C9" s="38" t="str">
        <f t="shared" si="0"/>
        <v>192.168.48.34/32</v>
      </c>
      <c r="D9" s="99" t="s">
        <v>807</v>
      </c>
      <c r="E9" s="38" t="str">
        <f t="shared" si="2"/>
        <v>AN0021-RM29</v>
      </c>
      <c r="F9" s="38" t="str">
        <f t="shared" si="3"/>
        <v>021-</v>
      </c>
      <c r="G9" s="38" t="str">
        <f t="shared" si="4"/>
        <v>21-</v>
      </c>
      <c r="H9" s="38" t="str">
        <f t="shared" si="4"/>
        <v>21-</v>
      </c>
      <c r="I9" s="38" t="str">
        <f t="shared" si="4"/>
        <v>21-</v>
      </c>
      <c r="J9" s="37" t="str">
        <f t="shared" si="5"/>
        <v>Device Type#All Device Types#Switch|Location#All Locations#21-</v>
      </c>
    </row>
    <row r="10" spans="1:10" x14ac:dyDescent="0.25">
      <c r="A10" s="35" t="s">
        <v>171</v>
      </c>
      <c r="B10" s="36" t="s">
        <v>1036</v>
      </c>
      <c r="C10" s="38" t="str">
        <f t="shared" si="0"/>
        <v>192.168.48.35/32</v>
      </c>
      <c r="D10" s="99" t="s">
        <v>807</v>
      </c>
      <c r="E10" s="38" t="str">
        <f t="shared" si="2"/>
        <v>AN0021-RM30</v>
      </c>
      <c r="F10" s="38" t="str">
        <f t="shared" si="3"/>
        <v>021-</v>
      </c>
      <c r="G10" s="38" t="str">
        <f t="shared" si="4"/>
        <v>21-</v>
      </c>
      <c r="H10" s="38" t="str">
        <f t="shared" si="4"/>
        <v>21-</v>
      </c>
      <c r="I10" s="38" t="str">
        <f t="shared" si="4"/>
        <v>21-</v>
      </c>
      <c r="J10" s="37" t="str">
        <f t="shared" si="5"/>
        <v>Device Type#All Device Types#Switch|Location#All Locations#21-</v>
      </c>
    </row>
    <row r="11" spans="1:10" x14ac:dyDescent="0.25">
      <c r="A11" s="35" t="s">
        <v>172</v>
      </c>
      <c r="B11" s="36" t="s">
        <v>1037</v>
      </c>
      <c r="C11" s="38" t="str">
        <f t="shared" si="0"/>
        <v>192.168.48.36/32</v>
      </c>
      <c r="D11" s="99" t="s">
        <v>807</v>
      </c>
      <c r="E11" s="38" t="str">
        <f t="shared" si="2"/>
        <v>AN0021-RM31</v>
      </c>
      <c r="F11" s="38" t="str">
        <f t="shared" si="3"/>
        <v>021-</v>
      </c>
      <c r="G11" s="38" t="str">
        <f t="shared" si="4"/>
        <v>21-</v>
      </c>
      <c r="H11" s="38" t="str">
        <f t="shared" si="4"/>
        <v>21-</v>
      </c>
      <c r="I11" s="38" t="str">
        <f t="shared" si="4"/>
        <v>21-</v>
      </c>
      <c r="J11" s="37" t="str">
        <f t="shared" si="5"/>
        <v>Device Type#All Device Types#Switch|Location#All Locations#21-</v>
      </c>
    </row>
    <row r="12" spans="1:10" x14ac:dyDescent="0.25">
      <c r="A12" s="35" t="s">
        <v>173</v>
      </c>
      <c r="B12" s="36" t="s">
        <v>1038</v>
      </c>
      <c r="C12" s="38" t="str">
        <f t="shared" si="0"/>
        <v>192.168.48.37/32</v>
      </c>
      <c r="D12" s="99" t="s">
        <v>807</v>
      </c>
      <c r="E12" s="38" t="str">
        <f t="shared" si="2"/>
        <v>AN0021-RM32</v>
      </c>
      <c r="F12" s="38" t="str">
        <f t="shared" si="3"/>
        <v>021-</v>
      </c>
      <c r="G12" s="38" t="str">
        <f t="shared" si="4"/>
        <v>21-</v>
      </c>
      <c r="H12" s="38" t="str">
        <f t="shared" si="4"/>
        <v>21-</v>
      </c>
      <c r="I12" s="38" t="str">
        <f t="shared" si="4"/>
        <v>21-</v>
      </c>
      <c r="J12" s="37" t="str">
        <f t="shared" si="5"/>
        <v>Device Type#All Device Types#Switch|Location#All Locations#21-</v>
      </c>
    </row>
    <row r="13" spans="1:10" x14ac:dyDescent="0.25">
      <c r="A13" s="35" t="s">
        <v>174</v>
      </c>
      <c r="B13" s="36" t="s">
        <v>1039</v>
      </c>
      <c r="C13" s="38" t="str">
        <f t="shared" si="0"/>
        <v>192.168.48.38/32</v>
      </c>
      <c r="D13" s="99" t="s">
        <v>807</v>
      </c>
      <c r="E13" s="38" t="str">
        <f t="shared" si="2"/>
        <v>AN0021-RM33</v>
      </c>
      <c r="F13" s="38" t="str">
        <f t="shared" si="3"/>
        <v>021-</v>
      </c>
      <c r="G13" s="38" t="str">
        <f t="shared" si="4"/>
        <v>21-</v>
      </c>
      <c r="H13" s="38" t="str">
        <f t="shared" si="4"/>
        <v>21-</v>
      </c>
      <c r="I13" s="38" t="str">
        <f t="shared" si="4"/>
        <v>21-</v>
      </c>
      <c r="J13" s="37" t="str">
        <f t="shared" si="5"/>
        <v>Device Type#All Device Types#Switch|Location#All Locations#21-</v>
      </c>
    </row>
    <row r="14" spans="1:10" x14ac:dyDescent="0.25">
      <c r="A14" s="35" t="s">
        <v>197</v>
      </c>
      <c r="B14" s="36"/>
      <c r="C14" s="38" t="str">
        <f t="shared" si="0"/>
        <v>192.168.48.62/32</v>
      </c>
      <c r="D14" s="99" t="s">
        <v>807</v>
      </c>
      <c r="E14" s="38" t="str">
        <f t="shared" si="2"/>
        <v/>
      </c>
      <c r="F14" s="38" t="str">
        <f t="shared" si="3"/>
        <v/>
      </c>
      <c r="G14" s="38" t="str">
        <f t="shared" ref="G14:I26" si="6">IF( LEFT(F14) = "0",RIGHT(F14, LEN(F14)-1),F14)</f>
        <v/>
      </c>
      <c r="H14" s="38" t="str">
        <f t="shared" si="6"/>
        <v/>
      </c>
      <c r="I14" s="38" t="str">
        <f t="shared" si="6"/>
        <v/>
      </c>
      <c r="J14" s="37" t="str">
        <f t="shared" si="5"/>
        <v>Device Type#All Device Types#Switch|Location#All Locations#</v>
      </c>
    </row>
    <row r="15" spans="1:10" x14ac:dyDescent="0.25">
      <c r="A15" s="35" t="s">
        <v>198</v>
      </c>
      <c r="B15" s="36"/>
      <c r="C15" s="38" t="str">
        <f t="shared" si="0"/>
        <v>192.168.48.63/32</v>
      </c>
      <c r="D15" s="99" t="s">
        <v>807</v>
      </c>
      <c r="E15" s="38" t="str">
        <f t="shared" si="2"/>
        <v/>
      </c>
      <c r="F15" s="38" t="str">
        <f t="shared" si="3"/>
        <v/>
      </c>
      <c r="G15" s="38" t="str">
        <f t="shared" si="6"/>
        <v/>
      </c>
      <c r="H15" s="38" t="str">
        <f t="shared" si="6"/>
        <v/>
      </c>
      <c r="I15" s="38" t="str">
        <f t="shared" si="6"/>
        <v/>
      </c>
      <c r="J15" s="37" t="str">
        <f t="shared" si="5"/>
        <v>Device Type#All Device Types#Switch|Location#All Locations#</v>
      </c>
    </row>
    <row r="16" spans="1:10" x14ac:dyDescent="0.25">
      <c r="A16" s="35" t="s">
        <v>199</v>
      </c>
      <c r="B16" s="36"/>
      <c r="C16" s="38" t="str">
        <f t="shared" si="0"/>
        <v>192.168.48.64/32</v>
      </c>
      <c r="D16" s="99" t="s">
        <v>807</v>
      </c>
      <c r="E16" s="38" t="str">
        <f t="shared" si="2"/>
        <v/>
      </c>
      <c r="F16" s="38" t="str">
        <f t="shared" si="3"/>
        <v/>
      </c>
      <c r="G16" s="38" t="str">
        <f t="shared" si="6"/>
        <v/>
      </c>
      <c r="H16" s="38" t="str">
        <f t="shared" si="6"/>
        <v/>
      </c>
      <c r="I16" s="38" t="str">
        <f t="shared" si="6"/>
        <v/>
      </c>
      <c r="J16" s="37" t="str">
        <f t="shared" si="5"/>
        <v>Device Type#All Device Types#Switch|Location#All Locations#</v>
      </c>
    </row>
    <row r="17" spans="1:10" x14ac:dyDescent="0.25">
      <c r="A17" s="35" t="s">
        <v>201</v>
      </c>
      <c r="B17" s="36"/>
      <c r="C17" s="38" t="str">
        <f t="shared" si="0"/>
        <v>192.168.48.65/32</v>
      </c>
      <c r="D17" s="99" t="s">
        <v>807</v>
      </c>
      <c r="E17" s="38" t="str">
        <f t="shared" si="2"/>
        <v/>
      </c>
      <c r="F17" s="38" t="str">
        <f t="shared" si="3"/>
        <v/>
      </c>
      <c r="G17" s="38" t="str">
        <f t="shared" si="6"/>
        <v/>
      </c>
      <c r="H17" s="38" t="str">
        <f t="shared" si="6"/>
        <v/>
      </c>
      <c r="I17" s="38" t="str">
        <f t="shared" si="6"/>
        <v/>
      </c>
      <c r="J17" s="37" t="str">
        <f t="shared" si="5"/>
        <v>Device Type#All Device Types#Switch|Location#All Locations#</v>
      </c>
    </row>
    <row r="18" spans="1:10" x14ac:dyDescent="0.25">
      <c r="A18" s="35" t="s">
        <v>202</v>
      </c>
      <c r="B18" s="36"/>
      <c r="C18" s="38" t="str">
        <f t="shared" si="0"/>
        <v>192.168.48.66/32</v>
      </c>
      <c r="D18" s="99" t="s">
        <v>807</v>
      </c>
      <c r="E18" s="38" t="str">
        <f t="shared" si="2"/>
        <v/>
      </c>
      <c r="F18" s="38" t="str">
        <f t="shared" si="3"/>
        <v/>
      </c>
      <c r="G18" s="38" t="str">
        <f t="shared" si="6"/>
        <v/>
      </c>
      <c r="H18" s="38" t="str">
        <f t="shared" si="6"/>
        <v/>
      </c>
      <c r="I18" s="38" t="str">
        <f t="shared" si="6"/>
        <v/>
      </c>
      <c r="J18" s="37" t="str">
        <f t="shared" si="5"/>
        <v>Device Type#All Device Types#Switch|Location#All Locations#</v>
      </c>
    </row>
    <row r="19" spans="1:10" x14ac:dyDescent="0.25">
      <c r="A19" s="35" t="s">
        <v>203</v>
      </c>
      <c r="B19" s="36"/>
      <c r="C19" s="38" t="str">
        <f t="shared" si="0"/>
        <v>192.168.48.67/32</v>
      </c>
      <c r="D19" s="99" t="s">
        <v>807</v>
      </c>
      <c r="E19" s="38" t="str">
        <f t="shared" si="2"/>
        <v/>
      </c>
      <c r="F19" s="38" t="str">
        <f t="shared" si="3"/>
        <v/>
      </c>
      <c r="G19" s="38" t="str">
        <f t="shared" si="6"/>
        <v/>
      </c>
      <c r="H19" s="38" t="str">
        <f t="shared" si="6"/>
        <v/>
      </c>
      <c r="I19" s="38" t="str">
        <f t="shared" si="6"/>
        <v/>
      </c>
      <c r="J19" s="37" t="str">
        <f t="shared" si="5"/>
        <v>Device Type#All Device Types#Switch|Location#All Locations#</v>
      </c>
    </row>
    <row r="20" spans="1:10" x14ac:dyDescent="0.25">
      <c r="A20" s="35" t="s">
        <v>204</v>
      </c>
      <c r="B20" s="36"/>
      <c r="C20" s="38" t="str">
        <f t="shared" si="0"/>
        <v>192.168.48.68/32</v>
      </c>
      <c r="D20" s="99" t="s">
        <v>807</v>
      </c>
      <c r="E20" s="38" t="str">
        <f t="shared" si="2"/>
        <v/>
      </c>
      <c r="F20" s="38" t="str">
        <f t="shared" si="3"/>
        <v/>
      </c>
      <c r="G20" s="38" t="str">
        <f t="shared" si="6"/>
        <v/>
      </c>
      <c r="H20" s="38" t="str">
        <f t="shared" si="6"/>
        <v/>
      </c>
      <c r="I20" s="38" t="str">
        <f t="shared" si="6"/>
        <v/>
      </c>
      <c r="J20" s="37" t="str">
        <f t="shared" si="5"/>
        <v>Device Type#All Device Types#Switch|Location#All Locations#</v>
      </c>
    </row>
    <row r="21" spans="1:10" x14ac:dyDescent="0.25">
      <c r="A21" s="35" t="s">
        <v>220</v>
      </c>
      <c r="B21" s="36"/>
      <c r="C21" s="38" t="str">
        <f t="shared" si="0"/>
        <v>192.168.48.69/32</v>
      </c>
      <c r="D21" s="99" t="s">
        <v>807</v>
      </c>
      <c r="E21" s="38" t="str">
        <f t="shared" si="2"/>
        <v/>
      </c>
      <c r="F21" s="38" t="str">
        <f t="shared" si="3"/>
        <v/>
      </c>
      <c r="G21" s="38" t="str">
        <f t="shared" si="6"/>
        <v/>
      </c>
      <c r="H21" s="38" t="str">
        <f t="shared" si="6"/>
        <v/>
      </c>
      <c r="I21" s="38" t="str">
        <f t="shared" si="6"/>
        <v/>
      </c>
      <c r="J21" s="37" t="str">
        <f t="shared" si="5"/>
        <v>Device Type#All Device Types#Switch|Location#All Locations#</v>
      </c>
    </row>
    <row r="22" spans="1:10" x14ac:dyDescent="0.25">
      <c r="A22" s="35" t="s">
        <v>205</v>
      </c>
      <c r="B22" s="36"/>
      <c r="C22" s="38" t="str">
        <f t="shared" si="0"/>
        <v>192.168.48.70/32</v>
      </c>
      <c r="D22" s="99" t="s">
        <v>807</v>
      </c>
      <c r="E22" s="38" t="str">
        <f t="shared" si="2"/>
        <v/>
      </c>
      <c r="F22" s="38" t="str">
        <f t="shared" si="3"/>
        <v/>
      </c>
      <c r="G22" s="38" t="str">
        <f t="shared" si="6"/>
        <v/>
      </c>
      <c r="H22" s="38" t="str">
        <f t="shared" si="6"/>
        <v/>
      </c>
      <c r="I22" s="38" t="str">
        <f t="shared" si="6"/>
        <v/>
      </c>
      <c r="J22" s="37" t="str">
        <f t="shared" si="5"/>
        <v>Device Type#All Device Types#Switch|Location#All Locations#</v>
      </c>
    </row>
    <row r="23" spans="1:10" x14ac:dyDescent="0.25">
      <c r="A23" s="35" t="s">
        <v>207</v>
      </c>
      <c r="B23" s="36"/>
      <c r="C23" s="38" t="str">
        <f t="shared" si="0"/>
        <v>192.168.48.71/32</v>
      </c>
      <c r="D23" s="99" t="s">
        <v>807</v>
      </c>
      <c r="E23" s="38" t="str">
        <f t="shared" si="2"/>
        <v/>
      </c>
      <c r="F23" s="38" t="str">
        <f t="shared" si="3"/>
        <v/>
      </c>
      <c r="G23" s="38" t="str">
        <f t="shared" si="6"/>
        <v/>
      </c>
      <c r="H23" s="38" t="str">
        <f t="shared" si="6"/>
        <v/>
      </c>
      <c r="I23" s="38" t="str">
        <f t="shared" si="6"/>
        <v/>
      </c>
      <c r="J23" s="37" t="str">
        <f t="shared" si="5"/>
        <v>Device Type#All Device Types#Switch|Location#All Locations#</v>
      </c>
    </row>
    <row r="24" spans="1:10" x14ac:dyDescent="0.25">
      <c r="A24" s="35" t="s">
        <v>208</v>
      </c>
      <c r="B24" s="36"/>
      <c r="C24" s="38" t="str">
        <f t="shared" si="0"/>
        <v>192.168.48.72/32</v>
      </c>
      <c r="D24" s="99" t="s">
        <v>807</v>
      </c>
      <c r="E24" s="38" t="str">
        <f t="shared" si="2"/>
        <v/>
      </c>
      <c r="F24" s="38" t="str">
        <f t="shared" si="3"/>
        <v/>
      </c>
      <c r="G24" s="38" t="str">
        <f t="shared" si="6"/>
        <v/>
      </c>
      <c r="H24" s="38" t="str">
        <f t="shared" si="6"/>
        <v/>
      </c>
      <c r="I24" s="38" t="str">
        <f t="shared" si="6"/>
        <v/>
      </c>
      <c r="J24" s="37" t="str">
        <f t="shared" si="5"/>
        <v>Device Type#All Device Types#Switch|Location#All Locations#</v>
      </c>
    </row>
    <row r="25" spans="1:10" x14ac:dyDescent="0.25">
      <c r="A25" s="35" t="s">
        <v>209</v>
      </c>
      <c r="B25" s="36"/>
      <c r="C25" s="38" t="str">
        <f t="shared" si="0"/>
        <v>192.168.48.73/32</v>
      </c>
      <c r="D25" s="99" t="s">
        <v>807</v>
      </c>
      <c r="E25" s="38" t="str">
        <f t="shared" si="2"/>
        <v/>
      </c>
      <c r="F25" s="38" t="str">
        <f t="shared" si="3"/>
        <v/>
      </c>
      <c r="G25" s="38" t="str">
        <f t="shared" si="6"/>
        <v/>
      </c>
      <c r="H25" s="38" t="str">
        <f t="shared" si="6"/>
        <v/>
      </c>
      <c r="I25" s="38" t="str">
        <f t="shared" si="6"/>
        <v/>
      </c>
      <c r="J25" s="37" t="str">
        <f t="shared" si="5"/>
        <v>Device Type#All Device Types#Switch|Location#All Locations#</v>
      </c>
    </row>
    <row r="26" spans="1:10" x14ac:dyDescent="0.25">
      <c r="A26" s="35" t="s">
        <v>210</v>
      </c>
      <c r="B26" s="36"/>
      <c r="C26" s="38" t="str">
        <f t="shared" si="0"/>
        <v>192.168.48.74/32</v>
      </c>
      <c r="D26" s="99" t="s">
        <v>807</v>
      </c>
      <c r="E26" s="38" t="str">
        <f t="shared" si="2"/>
        <v/>
      </c>
      <c r="F26" s="38" t="str">
        <f t="shared" si="3"/>
        <v/>
      </c>
      <c r="G26" s="38" t="str">
        <f t="shared" si="6"/>
        <v/>
      </c>
      <c r="H26" s="38" t="str">
        <f t="shared" si="6"/>
        <v/>
      </c>
      <c r="I26" s="38" t="str">
        <f t="shared" si="6"/>
        <v/>
      </c>
      <c r="J26" s="37" t="str">
        <f t="shared" si="5"/>
        <v>Device Type#All Device Types#Switch|Location#All Locations#</v>
      </c>
    </row>
    <row r="27" spans="1:10" x14ac:dyDescent="0.25">
      <c r="A27" s="35" t="s">
        <v>211</v>
      </c>
      <c r="B27" s="36"/>
      <c r="C27" s="38" t="str">
        <f t="shared" si="0"/>
        <v>192.168.48.75/32</v>
      </c>
      <c r="D27" s="99" t="s">
        <v>807</v>
      </c>
      <c r="E27" s="38" t="str">
        <f t="shared" si="2"/>
        <v/>
      </c>
      <c r="F27" s="38" t="str">
        <f t="shared" si="3"/>
        <v/>
      </c>
      <c r="G27" s="38" t="str">
        <f t="shared" ref="G27:I28" si="7">IF( LEFT(F27) = "0",RIGHT(F27, LEN(F27)-1),F27)</f>
        <v/>
      </c>
      <c r="H27" s="38" t="str">
        <f t="shared" si="7"/>
        <v/>
      </c>
      <c r="I27" s="38" t="str">
        <f t="shared" si="7"/>
        <v/>
      </c>
      <c r="J27" s="37" t="str">
        <f t="shared" si="5"/>
        <v>Device Type#All Device Types#Switch|Location#All Locations#</v>
      </c>
    </row>
    <row r="28" spans="1:10" x14ac:dyDescent="0.25">
      <c r="A28" s="35" t="s">
        <v>212</v>
      </c>
      <c r="B28" s="36"/>
      <c r="C28" s="38" t="str">
        <f t="shared" si="0"/>
        <v>192.168.48.76/32</v>
      </c>
      <c r="D28" s="99" t="s">
        <v>807</v>
      </c>
      <c r="E28" s="38" t="str">
        <f t="shared" si="2"/>
        <v/>
      </c>
      <c r="F28" s="38" t="str">
        <f t="shared" si="3"/>
        <v/>
      </c>
      <c r="G28" s="38" t="str">
        <f t="shared" si="7"/>
        <v/>
      </c>
      <c r="H28" s="38" t="str">
        <f t="shared" si="7"/>
        <v/>
      </c>
      <c r="I28" s="38" t="str">
        <f t="shared" si="7"/>
        <v/>
      </c>
      <c r="J28" s="37" t="str">
        <f t="shared" si="5"/>
        <v>Device Type#All Device Types#Switch|Location#All Locations#</v>
      </c>
    </row>
  </sheetData>
  <conditionalFormatting sqref="B2:B28">
    <cfRule type="cellIs" dxfId="10" priority="1" stopIfTrue="1" operator="equal">
      <formula>"Timed Out"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86"/>
  <sheetViews>
    <sheetView workbookViewId="0">
      <selection activeCell="C16" sqref="C16"/>
    </sheetView>
  </sheetViews>
  <sheetFormatPr defaultRowHeight="15" x14ac:dyDescent="0.25"/>
  <cols>
    <col min="1" max="1" width="9" style="51" bestFit="1" customWidth="1"/>
    <col min="2" max="2" width="11.140625" style="51" bestFit="1" customWidth="1"/>
    <col min="3" max="3" width="12.42578125" style="52" bestFit="1" customWidth="1"/>
    <col min="4" max="4" width="9.140625" style="32"/>
    <col min="7" max="7" width="30" style="42" bestFit="1" customWidth="1"/>
    <col min="8" max="8" width="30" style="1" customWidth="1"/>
  </cols>
  <sheetData>
    <row r="1" spans="1:8" x14ac:dyDescent="0.25">
      <c r="A1" s="39" t="s">
        <v>808</v>
      </c>
      <c r="B1" s="39" t="s">
        <v>814</v>
      </c>
      <c r="C1" s="43" t="s">
        <v>815</v>
      </c>
      <c r="G1" s="103" t="s">
        <v>812</v>
      </c>
      <c r="H1" s="103"/>
    </row>
    <row r="2" spans="1:8" x14ac:dyDescent="0.25">
      <c r="A2" s="40" t="s">
        <v>809</v>
      </c>
      <c r="B2" s="44">
        <v>43526</v>
      </c>
      <c r="C2" s="44">
        <v>43526</v>
      </c>
      <c r="G2" s="42" t="s">
        <v>811</v>
      </c>
      <c r="H2" s="1" t="s">
        <v>813</v>
      </c>
    </row>
    <row r="3" spans="1:8" x14ac:dyDescent="0.25">
      <c r="A3" s="41" t="s">
        <v>809</v>
      </c>
      <c r="B3" s="44">
        <v>43526</v>
      </c>
      <c r="C3" s="44">
        <v>43526</v>
      </c>
    </row>
    <row r="4" spans="1:8" x14ac:dyDescent="0.25">
      <c r="A4" s="40" t="s">
        <v>809</v>
      </c>
      <c r="B4" s="44">
        <v>43526</v>
      </c>
      <c r="C4" s="44">
        <v>43526</v>
      </c>
    </row>
    <row r="5" spans="1:8" x14ac:dyDescent="0.25">
      <c r="A5" s="40" t="s">
        <v>809</v>
      </c>
      <c r="B5" s="44">
        <v>43526</v>
      </c>
      <c r="C5" s="44">
        <v>43526</v>
      </c>
    </row>
    <row r="6" spans="1:8" x14ac:dyDescent="0.25">
      <c r="A6" s="41" t="s">
        <v>810</v>
      </c>
      <c r="B6" s="44"/>
      <c r="C6" s="44"/>
    </row>
    <row r="7" spans="1:8" x14ac:dyDescent="0.25">
      <c r="A7" s="40"/>
      <c r="B7" s="44"/>
      <c r="C7" s="44"/>
    </row>
    <row r="8" spans="1:8" x14ac:dyDescent="0.25">
      <c r="A8" s="40"/>
      <c r="B8" s="44"/>
      <c r="C8" s="44"/>
    </row>
    <row r="9" spans="1:8" x14ac:dyDescent="0.25">
      <c r="A9" s="41"/>
      <c r="B9" s="44"/>
      <c r="C9" s="44"/>
    </row>
    <row r="10" spans="1:8" x14ac:dyDescent="0.25">
      <c r="A10" s="40"/>
      <c r="B10" s="44"/>
      <c r="C10" s="44"/>
    </row>
    <row r="11" spans="1:8" x14ac:dyDescent="0.25">
      <c r="A11" s="40"/>
      <c r="B11" s="44"/>
      <c r="C11" s="44"/>
    </row>
    <row r="12" spans="1:8" x14ac:dyDescent="0.25">
      <c r="A12" s="41"/>
      <c r="B12" s="44"/>
      <c r="C12" s="44"/>
    </row>
    <row r="13" spans="1:8" x14ac:dyDescent="0.25">
      <c r="A13" s="40"/>
      <c r="B13" s="44"/>
      <c r="C13" s="44"/>
    </row>
    <row r="14" spans="1:8" x14ac:dyDescent="0.25">
      <c r="A14" s="41"/>
      <c r="B14" s="44"/>
      <c r="C14" s="44"/>
    </row>
    <row r="15" spans="1:8" x14ac:dyDescent="0.25">
      <c r="A15" s="47"/>
      <c r="B15" s="46"/>
      <c r="C15" s="46"/>
    </row>
    <row r="16" spans="1:8" x14ac:dyDescent="0.25">
      <c r="A16" s="45"/>
      <c r="B16" s="46"/>
      <c r="C16" s="46"/>
    </row>
    <row r="17" spans="1:3" x14ac:dyDescent="0.25">
      <c r="A17" s="47"/>
      <c r="B17" s="46"/>
      <c r="C17" s="46"/>
    </row>
    <row r="18" spans="1:3" x14ac:dyDescent="0.25">
      <c r="A18" s="45"/>
      <c r="B18" s="46"/>
      <c r="C18" s="46"/>
    </row>
    <row r="19" spans="1:3" x14ac:dyDescent="0.25">
      <c r="A19" s="47"/>
      <c r="B19" s="46"/>
      <c r="C19" s="46"/>
    </row>
    <row r="20" spans="1:3" x14ac:dyDescent="0.25">
      <c r="A20" s="47"/>
      <c r="B20" s="46"/>
      <c r="C20" s="46"/>
    </row>
    <row r="21" spans="1:3" x14ac:dyDescent="0.25">
      <c r="A21" s="45"/>
      <c r="B21" s="46"/>
      <c r="C21" s="46"/>
    </row>
    <row r="22" spans="1:3" x14ac:dyDescent="0.25">
      <c r="A22" s="45"/>
      <c r="B22" s="46"/>
      <c r="C22" s="46"/>
    </row>
    <row r="23" spans="1:3" x14ac:dyDescent="0.25">
      <c r="A23" s="47"/>
      <c r="B23" s="46"/>
      <c r="C23" s="46"/>
    </row>
    <row r="24" spans="1:3" x14ac:dyDescent="0.25">
      <c r="A24" s="47"/>
      <c r="B24" s="46"/>
      <c r="C24" s="46"/>
    </row>
    <row r="25" spans="1:3" x14ac:dyDescent="0.25">
      <c r="A25" s="47"/>
      <c r="B25" s="46"/>
      <c r="C25" s="46"/>
    </row>
    <row r="26" spans="1:3" x14ac:dyDescent="0.25">
      <c r="A26" s="45"/>
      <c r="B26" s="46"/>
      <c r="C26" s="46"/>
    </row>
    <row r="27" spans="1:3" x14ac:dyDescent="0.25">
      <c r="A27" s="47"/>
      <c r="B27" s="46"/>
      <c r="C27" s="46"/>
    </row>
    <row r="28" spans="1:3" x14ac:dyDescent="0.25">
      <c r="A28" s="45"/>
      <c r="B28" s="46"/>
      <c r="C28" s="46"/>
    </row>
    <row r="29" spans="1:3" x14ac:dyDescent="0.25">
      <c r="A29" s="47"/>
      <c r="B29" s="46"/>
      <c r="C29" s="46"/>
    </row>
    <row r="30" spans="1:3" x14ac:dyDescent="0.25">
      <c r="A30" s="45"/>
      <c r="B30" s="46"/>
      <c r="C30" s="46"/>
    </row>
    <row r="31" spans="1:3" x14ac:dyDescent="0.25">
      <c r="A31" s="47"/>
      <c r="B31" s="46"/>
      <c r="C31" s="46"/>
    </row>
    <row r="32" spans="1:3" x14ac:dyDescent="0.25">
      <c r="A32" s="45"/>
      <c r="B32" s="46"/>
      <c r="C32" s="46"/>
    </row>
    <row r="33" spans="1:3" x14ac:dyDescent="0.25">
      <c r="A33" s="45"/>
      <c r="B33" s="46"/>
      <c r="C33" s="46"/>
    </row>
    <row r="34" spans="1:3" x14ac:dyDescent="0.25">
      <c r="A34" s="47"/>
      <c r="B34" s="46"/>
      <c r="C34" s="46"/>
    </row>
    <row r="35" spans="1:3" x14ac:dyDescent="0.25">
      <c r="A35" s="45"/>
      <c r="B35" s="46"/>
      <c r="C35" s="46"/>
    </row>
    <row r="36" spans="1:3" x14ac:dyDescent="0.25">
      <c r="A36" s="47"/>
      <c r="B36" s="46"/>
      <c r="C36" s="46"/>
    </row>
    <row r="37" spans="1:3" x14ac:dyDescent="0.25">
      <c r="A37" s="45"/>
      <c r="B37" s="46"/>
      <c r="C37" s="46"/>
    </row>
    <row r="38" spans="1:3" x14ac:dyDescent="0.25">
      <c r="A38" s="47"/>
      <c r="B38" s="46"/>
      <c r="C38" s="46"/>
    </row>
    <row r="39" spans="1:3" x14ac:dyDescent="0.25">
      <c r="A39" s="45"/>
      <c r="B39" s="46"/>
      <c r="C39" s="46"/>
    </row>
    <row r="40" spans="1:3" x14ac:dyDescent="0.25">
      <c r="A40" s="47"/>
      <c r="B40" s="46"/>
      <c r="C40" s="46"/>
    </row>
    <row r="41" spans="1:3" x14ac:dyDescent="0.25">
      <c r="A41" s="45"/>
      <c r="B41" s="46"/>
      <c r="C41" s="46"/>
    </row>
    <row r="42" spans="1:3" x14ac:dyDescent="0.25">
      <c r="A42" s="47"/>
      <c r="B42" s="46"/>
      <c r="C42" s="46"/>
    </row>
    <row r="43" spans="1:3" x14ac:dyDescent="0.25">
      <c r="A43" s="45"/>
      <c r="B43" s="46"/>
      <c r="C43" s="46"/>
    </row>
    <row r="44" spans="1:3" x14ac:dyDescent="0.25">
      <c r="A44" s="47"/>
      <c r="B44" s="46"/>
      <c r="C44" s="46"/>
    </row>
    <row r="45" spans="1:3" x14ac:dyDescent="0.25">
      <c r="A45" s="45"/>
      <c r="B45" s="46"/>
      <c r="C45" s="46"/>
    </row>
    <row r="46" spans="1:3" x14ac:dyDescent="0.25">
      <c r="A46" s="47"/>
      <c r="B46" s="46"/>
      <c r="C46" s="46"/>
    </row>
    <row r="47" spans="1:3" x14ac:dyDescent="0.25">
      <c r="A47" s="45"/>
      <c r="B47" s="46"/>
      <c r="C47" s="46"/>
    </row>
    <row r="48" spans="1:3" x14ac:dyDescent="0.25">
      <c r="A48" s="47"/>
      <c r="B48" s="46"/>
      <c r="C48" s="46"/>
    </row>
    <row r="49" spans="1:3" x14ac:dyDescent="0.25">
      <c r="A49" s="45"/>
      <c r="B49" s="46"/>
      <c r="C49" s="46"/>
    </row>
    <row r="50" spans="1:3" x14ac:dyDescent="0.25">
      <c r="A50" s="47"/>
      <c r="B50" s="46"/>
      <c r="C50" s="46"/>
    </row>
    <row r="51" spans="1:3" x14ac:dyDescent="0.25">
      <c r="A51" s="45"/>
      <c r="B51" s="46"/>
      <c r="C51" s="46"/>
    </row>
    <row r="52" spans="1:3" x14ac:dyDescent="0.25">
      <c r="A52" s="47"/>
      <c r="B52" s="46"/>
      <c r="C52" s="46"/>
    </row>
    <row r="53" spans="1:3" x14ac:dyDescent="0.25">
      <c r="A53" s="45"/>
      <c r="B53" s="46"/>
      <c r="C53" s="46"/>
    </row>
    <row r="54" spans="1:3" x14ac:dyDescent="0.25">
      <c r="A54" s="47"/>
      <c r="B54" s="46"/>
      <c r="C54" s="46"/>
    </row>
    <row r="55" spans="1:3" x14ac:dyDescent="0.25">
      <c r="A55" s="45"/>
      <c r="B55" s="46"/>
      <c r="C55" s="46"/>
    </row>
    <row r="56" spans="1:3" x14ac:dyDescent="0.25">
      <c r="A56" s="47"/>
      <c r="B56" s="46"/>
      <c r="C56" s="46"/>
    </row>
    <row r="57" spans="1:3" x14ac:dyDescent="0.25">
      <c r="A57" s="45"/>
      <c r="B57" s="46"/>
      <c r="C57" s="46"/>
    </row>
    <row r="58" spans="1:3" x14ac:dyDescent="0.25">
      <c r="A58" s="47"/>
      <c r="B58" s="46"/>
      <c r="C58" s="46"/>
    </row>
    <row r="59" spans="1:3" x14ac:dyDescent="0.25">
      <c r="A59" s="45"/>
      <c r="B59" s="46"/>
      <c r="C59" s="46"/>
    </row>
    <row r="60" spans="1:3" x14ac:dyDescent="0.25">
      <c r="A60" s="47"/>
      <c r="B60" s="46"/>
      <c r="C60" s="46"/>
    </row>
    <row r="61" spans="1:3" x14ac:dyDescent="0.25">
      <c r="A61" s="45"/>
      <c r="B61" s="46"/>
      <c r="C61" s="46"/>
    </row>
    <row r="62" spans="1:3" x14ac:dyDescent="0.25">
      <c r="A62" s="47"/>
      <c r="B62" s="46"/>
      <c r="C62" s="46"/>
    </row>
    <row r="63" spans="1:3" x14ac:dyDescent="0.25">
      <c r="A63" s="45"/>
      <c r="B63" s="46"/>
      <c r="C63" s="46"/>
    </row>
    <row r="64" spans="1:3" x14ac:dyDescent="0.25">
      <c r="A64" s="47"/>
      <c r="B64" s="46"/>
      <c r="C64" s="46"/>
    </row>
    <row r="65" spans="1:3" x14ac:dyDescent="0.25">
      <c r="A65" s="45"/>
      <c r="B65" s="46"/>
      <c r="C65" s="46"/>
    </row>
    <row r="66" spans="1:3" x14ac:dyDescent="0.25">
      <c r="A66" s="47"/>
      <c r="B66" s="46"/>
      <c r="C66" s="46"/>
    </row>
    <row r="67" spans="1:3" x14ac:dyDescent="0.25">
      <c r="A67" s="45"/>
      <c r="B67" s="46"/>
      <c r="C67" s="46"/>
    </row>
    <row r="68" spans="1:3" x14ac:dyDescent="0.25">
      <c r="A68" s="47"/>
      <c r="B68" s="46"/>
      <c r="C68" s="46"/>
    </row>
    <row r="69" spans="1:3" x14ac:dyDescent="0.25">
      <c r="A69" s="45"/>
      <c r="B69" s="46"/>
      <c r="C69" s="46"/>
    </row>
    <row r="70" spans="1:3" x14ac:dyDescent="0.25">
      <c r="A70" s="47"/>
      <c r="B70" s="46"/>
      <c r="C70" s="46"/>
    </row>
    <row r="71" spans="1:3" x14ac:dyDescent="0.25">
      <c r="A71" s="45"/>
      <c r="B71" s="46"/>
      <c r="C71" s="46"/>
    </row>
    <row r="72" spans="1:3" x14ac:dyDescent="0.25">
      <c r="A72" s="47"/>
      <c r="B72" s="46"/>
      <c r="C72" s="46"/>
    </row>
    <row r="73" spans="1:3" x14ac:dyDescent="0.25">
      <c r="A73" s="45"/>
      <c r="B73" s="46"/>
      <c r="C73" s="46"/>
    </row>
    <row r="74" spans="1:3" x14ac:dyDescent="0.25">
      <c r="A74" s="47"/>
      <c r="B74" s="46"/>
      <c r="C74" s="46"/>
    </row>
    <row r="75" spans="1:3" x14ac:dyDescent="0.25">
      <c r="A75" s="45"/>
      <c r="B75" s="46"/>
      <c r="C75" s="46"/>
    </row>
    <row r="76" spans="1:3" x14ac:dyDescent="0.25">
      <c r="A76" s="47"/>
      <c r="B76" s="46"/>
      <c r="C76" s="46"/>
    </row>
    <row r="77" spans="1:3" x14ac:dyDescent="0.25">
      <c r="A77" s="45"/>
      <c r="B77" s="46"/>
      <c r="C77" s="46"/>
    </row>
    <row r="78" spans="1:3" x14ac:dyDescent="0.25">
      <c r="A78" s="47"/>
      <c r="B78" s="46"/>
      <c r="C78" s="46"/>
    </row>
    <row r="79" spans="1:3" x14ac:dyDescent="0.25">
      <c r="A79" s="45"/>
      <c r="B79" s="46"/>
      <c r="C79" s="46"/>
    </row>
    <row r="80" spans="1:3" x14ac:dyDescent="0.25">
      <c r="A80" s="47"/>
      <c r="B80" s="46"/>
      <c r="C80" s="46"/>
    </row>
    <row r="81" spans="1:3" x14ac:dyDescent="0.25">
      <c r="A81" s="45"/>
      <c r="B81" s="46"/>
      <c r="C81" s="46"/>
    </row>
    <row r="82" spans="1:3" x14ac:dyDescent="0.25">
      <c r="A82" s="47"/>
      <c r="B82" s="46"/>
      <c r="C82" s="46"/>
    </row>
    <row r="83" spans="1:3" x14ac:dyDescent="0.25">
      <c r="A83" s="45"/>
      <c r="B83" s="46"/>
      <c r="C83" s="46"/>
    </row>
    <row r="84" spans="1:3" x14ac:dyDescent="0.25">
      <c r="A84" s="47"/>
      <c r="B84" s="46"/>
      <c r="C84" s="46"/>
    </row>
    <row r="85" spans="1:3" x14ac:dyDescent="0.25">
      <c r="A85" s="45"/>
      <c r="B85" s="46"/>
      <c r="C85" s="46"/>
    </row>
    <row r="86" spans="1:3" x14ac:dyDescent="0.25">
      <c r="A86" s="47"/>
      <c r="B86" s="46"/>
      <c r="C86" s="46"/>
    </row>
    <row r="87" spans="1:3" x14ac:dyDescent="0.25">
      <c r="A87" s="45"/>
      <c r="B87" s="46"/>
      <c r="C87" s="46"/>
    </row>
    <row r="88" spans="1:3" x14ac:dyDescent="0.25">
      <c r="A88" s="47"/>
      <c r="B88" s="46"/>
      <c r="C88" s="46"/>
    </row>
    <row r="89" spans="1:3" x14ac:dyDescent="0.25">
      <c r="A89" s="45"/>
      <c r="B89" s="46"/>
      <c r="C89" s="46"/>
    </row>
    <row r="90" spans="1:3" x14ac:dyDescent="0.25">
      <c r="A90" s="47"/>
      <c r="B90" s="46"/>
      <c r="C90" s="46"/>
    </row>
    <row r="91" spans="1:3" x14ac:dyDescent="0.25">
      <c r="A91" s="45"/>
      <c r="B91" s="46"/>
      <c r="C91" s="46"/>
    </row>
    <row r="92" spans="1:3" x14ac:dyDescent="0.25">
      <c r="A92" s="47"/>
      <c r="B92" s="46"/>
      <c r="C92" s="46"/>
    </row>
    <row r="93" spans="1:3" x14ac:dyDescent="0.25">
      <c r="A93" s="45"/>
      <c r="B93" s="46"/>
      <c r="C93" s="46"/>
    </row>
    <row r="94" spans="1:3" x14ac:dyDescent="0.25">
      <c r="A94" s="47"/>
      <c r="B94" s="46"/>
      <c r="C94" s="46"/>
    </row>
    <row r="95" spans="1:3" x14ac:dyDescent="0.25">
      <c r="A95" s="45"/>
      <c r="B95" s="46"/>
      <c r="C95" s="46"/>
    </row>
    <row r="96" spans="1:3" x14ac:dyDescent="0.25">
      <c r="A96" s="47"/>
      <c r="B96" s="46"/>
      <c r="C96" s="46"/>
    </row>
    <row r="97" spans="1:3" x14ac:dyDescent="0.25">
      <c r="A97" s="45"/>
      <c r="B97" s="46"/>
      <c r="C97" s="46"/>
    </row>
    <row r="98" spans="1:3" x14ac:dyDescent="0.25">
      <c r="A98" s="47"/>
      <c r="B98" s="46"/>
      <c r="C98" s="46"/>
    </row>
    <row r="99" spans="1:3" x14ac:dyDescent="0.25">
      <c r="A99" s="45"/>
      <c r="B99" s="46"/>
      <c r="C99" s="46"/>
    </row>
    <row r="100" spans="1:3" x14ac:dyDescent="0.25">
      <c r="A100" s="47"/>
      <c r="B100" s="46"/>
      <c r="C100" s="46"/>
    </row>
    <row r="101" spans="1:3" x14ac:dyDescent="0.25">
      <c r="A101" s="45"/>
      <c r="B101" s="46"/>
      <c r="C101" s="46"/>
    </row>
    <row r="102" spans="1:3" x14ac:dyDescent="0.25">
      <c r="A102" s="47"/>
      <c r="B102" s="46"/>
      <c r="C102" s="46"/>
    </row>
    <row r="103" spans="1:3" x14ac:dyDescent="0.25">
      <c r="A103" s="45"/>
      <c r="B103" s="46"/>
      <c r="C103" s="46"/>
    </row>
    <row r="104" spans="1:3" x14ac:dyDescent="0.25">
      <c r="A104" s="47"/>
      <c r="B104" s="46"/>
      <c r="C104" s="46"/>
    </row>
    <row r="105" spans="1:3" x14ac:dyDescent="0.25">
      <c r="A105" s="45"/>
      <c r="B105" s="46"/>
      <c r="C105" s="46"/>
    </row>
    <row r="106" spans="1:3" x14ac:dyDescent="0.25">
      <c r="A106" s="47"/>
      <c r="B106" s="46"/>
      <c r="C106" s="46"/>
    </row>
    <row r="107" spans="1:3" x14ac:dyDescent="0.25">
      <c r="A107" s="45"/>
      <c r="B107" s="46"/>
      <c r="C107" s="46"/>
    </row>
    <row r="108" spans="1:3" x14ac:dyDescent="0.25">
      <c r="A108" s="47"/>
      <c r="B108" s="46"/>
      <c r="C108" s="46"/>
    </row>
    <row r="109" spans="1:3" x14ac:dyDescent="0.25">
      <c r="A109" s="45"/>
      <c r="B109" s="46"/>
      <c r="C109" s="46"/>
    </row>
    <row r="110" spans="1:3" x14ac:dyDescent="0.25">
      <c r="A110" s="45"/>
      <c r="B110" s="45"/>
      <c r="C110" s="48"/>
    </row>
    <row r="111" spans="1:3" x14ac:dyDescent="0.25">
      <c r="A111" s="45"/>
      <c r="B111" s="45"/>
      <c r="C111" s="48"/>
    </row>
    <row r="112" spans="1:3" x14ac:dyDescent="0.25">
      <c r="A112" s="49"/>
      <c r="B112" s="49"/>
      <c r="C112" s="50"/>
    </row>
    <row r="113" spans="1:3" x14ac:dyDescent="0.25">
      <c r="A113" s="49"/>
      <c r="B113" s="49"/>
      <c r="C113" s="50"/>
    </row>
    <row r="114" spans="1:3" x14ac:dyDescent="0.25">
      <c r="A114" s="49"/>
      <c r="B114" s="49"/>
      <c r="C114" s="50"/>
    </row>
    <row r="115" spans="1:3" x14ac:dyDescent="0.25">
      <c r="A115" s="49"/>
      <c r="B115" s="49"/>
      <c r="C115" s="50"/>
    </row>
    <row r="116" spans="1:3" x14ac:dyDescent="0.25">
      <c r="A116" s="49"/>
      <c r="B116" s="49"/>
      <c r="C116" s="50"/>
    </row>
    <row r="117" spans="1:3" x14ac:dyDescent="0.25">
      <c r="A117" s="49"/>
      <c r="B117" s="49"/>
      <c r="C117" s="50"/>
    </row>
    <row r="118" spans="1:3" x14ac:dyDescent="0.25">
      <c r="A118" s="49"/>
      <c r="B118" s="49"/>
      <c r="C118" s="50"/>
    </row>
    <row r="119" spans="1:3" x14ac:dyDescent="0.25">
      <c r="A119" s="49"/>
      <c r="B119" s="49"/>
      <c r="C119" s="50"/>
    </row>
    <row r="120" spans="1:3" x14ac:dyDescent="0.25">
      <c r="A120" s="49"/>
      <c r="B120" s="49"/>
      <c r="C120" s="50"/>
    </row>
    <row r="121" spans="1:3" x14ac:dyDescent="0.25">
      <c r="A121" s="49"/>
      <c r="B121" s="49"/>
      <c r="C121" s="50"/>
    </row>
    <row r="122" spans="1:3" x14ac:dyDescent="0.25">
      <c r="A122" s="49"/>
      <c r="B122" s="49"/>
      <c r="C122" s="50"/>
    </row>
    <row r="123" spans="1:3" x14ac:dyDescent="0.25">
      <c r="A123" s="49"/>
      <c r="B123" s="49"/>
      <c r="C123" s="50"/>
    </row>
    <row r="124" spans="1:3" x14ac:dyDescent="0.25">
      <c r="A124" s="49"/>
      <c r="B124" s="49"/>
      <c r="C124" s="50"/>
    </row>
    <row r="125" spans="1:3" x14ac:dyDescent="0.25">
      <c r="A125" s="49"/>
      <c r="B125" s="49"/>
      <c r="C125" s="50"/>
    </row>
    <row r="126" spans="1:3" x14ac:dyDescent="0.25">
      <c r="A126" s="49"/>
      <c r="B126" s="49"/>
      <c r="C126" s="50"/>
    </row>
    <row r="127" spans="1:3" x14ac:dyDescent="0.25">
      <c r="A127" s="49"/>
      <c r="B127" s="49"/>
      <c r="C127" s="50"/>
    </row>
    <row r="128" spans="1:3" x14ac:dyDescent="0.25">
      <c r="A128" s="49"/>
      <c r="B128" s="49"/>
      <c r="C128" s="50"/>
    </row>
    <row r="129" spans="1:3" x14ac:dyDescent="0.25">
      <c r="A129" s="49"/>
      <c r="B129" s="49"/>
      <c r="C129" s="50"/>
    </row>
    <row r="130" spans="1:3" x14ac:dyDescent="0.25">
      <c r="A130" s="49"/>
      <c r="B130" s="49"/>
      <c r="C130" s="50"/>
    </row>
    <row r="131" spans="1:3" x14ac:dyDescent="0.25">
      <c r="A131" s="49"/>
      <c r="B131" s="49"/>
      <c r="C131" s="50"/>
    </row>
    <row r="132" spans="1:3" x14ac:dyDescent="0.25">
      <c r="A132" s="49"/>
      <c r="B132" s="49"/>
      <c r="C132" s="50"/>
    </row>
    <row r="133" spans="1:3" x14ac:dyDescent="0.25">
      <c r="A133" s="49"/>
      <c r="B133" s="49"/>
      <c r="C133" s="50"/>
    </row>
    <row r="134" spans="1:3" x14ac:dyDescent="0.25">
      <c r="A134" s="49"/>
      <c r="B134" s="49"/>
      <c r="C134" s="50"/>
    </row>
    <row r="135" spans="1:3" x14ac:dyDescent="0.25">
      <c r="A135" s="49"/>
      <c r="B135" s="49"/>
      <c r="C135" s="50"/>
    </row>
    <row r="136" spans="1:3" x14ac:dyDescent="0.25">
      <c r="A136" s="49"/>
      <c r="B136" s="49"/>
      <c r="C136" s="50"/>
    </row>
    <row r="137" spans="1:3" x14ac:dyDescent="0.25">
      <c r="A137" s="49"/>
      <c r="B137" s="49"/>
      <c r="C137" s="50"/>
    </row>
    <row r="138" spans="1:3" x14ac:dyDescent="0.25">
      <c r="A138" s="49"/>
      <c r="B138" s="49"/>
      <c r="C138" s="50"/>
    </row>
    <row r="139" spans="1:3" x14ac:dyDescent="0.25">
      <c r="A139" s="49"/>
      <c r="B139" s="49"/>
      <c r="C139" s="50"/>
    </row>
    <row r="140" spans="1:3" x14ac:dyDescent="0.25">
      <c r="A140" s="49"/>
      <c r="B140" s="49"/>
      <c r="C140" s="50"/>
    </row>
    <row r="141" spans="1:3" x14ac:dyDescent="0.25">
      <c r="A141" s="49"/>
      <c r="B141" s="49"/>
      <c r="C141" s="50"/>
    </row>
    <row r="142" spans="1:3" x14ac:dyDescent="0.25">
      <c r="A142" s="49"/>
      <c r="B142" s="49"/>
      <c r="C142" s="50"/>
    </row>
    <row r="143" spans="1:3" x14ac:dyDescent="0.25">
      <c r="A143" s="49"/>
      <c r="B143" s="49"/>
      <c r="C143" s="50"/>
    </row>
    <row r="144" spans="1:3" x14ac:dyDescent="0.25">
      <c r="A144" s="49"/>
      <c r="B144" s="49"/>
      <c r="C144" s="50"/>
    </row>
    <row r="145" spans="1:3" x14ac:dyDescent="0.25">
      <c r="A145" s="49"/>
      <c r="B145" s="49"/>
      <c r="C145" s="50"/>
    </row>
    <row r="146" spans="1:3" x14ac:dyDescent="0.25">
      <c r="A146" s="49"/>
      <c r="B146" s="49"/>
      <c r="C146" s="50"/>
    </row>
    <row r="147" spans="1:3" x14ac:dyDescent="0.25">
      <c r="A147" s="49"/>
      <c r="B147" s="49"/>
      <c r="C147" s="50"/>
    </row>
    <row r="148" spans="1:3" x14ac:dyDescent="0.25">
      <c r="A148" s="49"/>
      <c r="B148" s="49"/>
      <c r="C148" s="50"/>
    </row>
    <row r="149" spans="1:3" x14ac:dyDescent="0.25">
      <c r="A149" s="49"/>
      <c r="B149" s="49"/>
      <c r="C149" s="50"/>
    </row>
    <row r="150" spans="1:3" x14ac:dyDescent="0.25">
      <c r="A150" s="49"/>
      <c r="B150" s="49"/>
      <c r="C150" s="50"/>
    </row>
    <row r="151" spans="1:3" x14ac:dyDescent="0.25">
      <c r="A151" s="49"/>
      <c r="B151" s="49"/>
      <c r="C151" s="50"/>
    </row>
    <row r="152" spans="1:3" x14ac:dyDescent="0.25">
      <c r="A152" s="49"/>
      <c r="B152" s="49"/>
      <c r="C152" s="50"/>
    </row>
    <row r="153" spans="1:3" x14ac:dyDescent="0.25">
      <c r="A153" s="49"/>
      <c r="B153" s="49"/>
      <c r="C153" s="50"/>
    </row>
    <row r="154" spans="1:3" x14ac:dyDescent="0.25">
      <c r="A154" s="49"/>
      <c r="B154" s="49"/>
      <c r="C154" s="50"/>
    </row>
    <row r="155" spans="1:3" x14ac:dyDescent="0.25">
      <c r="A155" s="49"/>
      <c r="B155" s="49"/>
      <c r="C155" s="50"/>
    </row>
    <row r="156" spans="1:3" x14ac:dyDescent="0.25">
      <c r="A156" s="49"/>
      <c r="B156" s="49"/>
      <c r="C156" s="50"/>
    </row>
    <row r="157" spans="1:3" x14ac:dyDescent="0.25">
      <c r="A157" s="49"/>
      <c r="B157" s="49"/>
      <c r="C157" s="50"/>
    </row>
    <row r="158" spans="1:3" x14ac:dyDescent="0.25">
      <c r="A158" s="49"/>
      <c r="B158" s="49"/>
      <c r="C158" s="50"/>
    </row>
    <row r="159" spans="1:3" x14ac:dyDescent="0.25">
      <c r="A159" s="49"/>
      <c r="B159" s="49"/>
      <c r="C159" s="50"/>
    </row>
    <row r="160" spans="1:3" x14ac:dyDescent="0.25">
      <c r="A160" s="49"/>
      <c r="B160" s="49"/>
      <c r="C160" s="50"/>
    </row>
    <row r="161" spans="1:3" x14ac:dyDescent="0.25">
      <c r="A161" s="49"/>
      <c r="B161" s="49"/>
      <c r="C161" s="50"/>
    </row>
    <row r="162" spans="1:3" x14ac:dyDescent="0.25">
      <c r="A162" s="49"/>
      <c r="B162" s="49"/>
      <c r="C162" s="50"/>
    </row>
    <row r="163" spans="1:3" x14ac:dyDescent="0.25">
      <c r="A163" s="49"/>
      <c r="B163" s="49"/>
      <c r="C163" s="50"/>
    </row>
    <row r="164" spans="1:3" x14ac:dyDescent="0.25">
      <c r="A164" s="49"/>
      <c r="B164" s="49"/>
      <c r="C164" s="50"/>
    </row>
    <row r="165" spans="1:3" x14ac:dyDescent="0.25">
      <c r="A165" s="49"/>
      <c r="B165" s="49"/>
      <c r="C165" s="50"/>
    </row>
    <row r="166" spans="1:3" x14ac:dyDescent="0.25">
      <c r="A166" s="49"/>
      <c r="B166" s="49"/>
      <c r="C166" s="50"/>
    </row>
    <row r="167" spans="1:3" x14ac:dyDescent="0.25">
      <c r="A167" s="49"/>
      <c r="B167" s="49"/>
      <c r="C167" s="50"/>
    </row>
    <row r="168" spans="1:3" x14ac:dyDescent="0.25">
      <c r="A168" s="49"/>
      <c r="B168" s="49"/>
      <c r="C168" s="50"/>
    </row>
    <row r="169" spans="1:3" x14ac:dyDescent="0.25">
      <c r="A169" s="49"/>
      <c r="B169" s="49"/>
      <c r="C169" s="50"/>
    </row>
    <row r="170" spans="1:3" x14ac:dyDescent="0.25">
      <c r="A170" s="49"/>
      <c r="B170" s="49"/>
      <c r="C170" s="50"/>
    </row>
    <row r="171" spans="1:3" x14ac:dyDescent="0.25">
      <c r="A171" s="49"/>
      <c r="B171" s="49"/>
      <c r="C171" s="50"/>
    </row>
    <row r="172" spans="1:3" x14ac:dyDescent="0.25">
      <c r="A172" s="49"/>
      <c r="B172" s="49"/>
      <c r="C172" s="50"/>
    </row>
    <row r="173" spans="1:3" x14ac:dyDescent="0.25">
      <c r="A173" s="49"/>
      <c r="B173" s="49"/>
      <c r="C173" s="50"/>
    </row>
    <row r="174" spans="1:3" x14ac:dyDescent="0.25">
      <c r="A174" s="49"/>
      <c r="B174" s="49"/>
      <c r="C174" s="50"/>
    </row>
    <row r="175" spans="1:3" x14ac:dyDescent="0.25">
      <c r="A175" s="49"/>
      <c r="B175" s="49"/>
      <c r="C175" s="50"/>
    </row>
    <row r="176" spans="1:3" x14ac:dyDescent="0.25">
      <c r="A176" s="49"/>
      <c r="B176" s="49"/>
      <c r="C176" s="50"/>
    </row>
    <row r="177" spans="1:3" x14ac:dyDescent="0.25">
      <c r="A177" s="49"/>
      <c r="B177" s="49"/>
      <c r="C177" s="50"/>
    </row>
    <row r="178" spans="1:3" x14ac:dyDescent="0.25">
      <c r="A178" s="49"/>
      <c r="B178" s="49"/>
      <c r="C178" s="50"/>
    </row>
    <row r="179" spans="1:3" x14ac:dyDescent="0.25">
      <c r="A179" s="49"/>
      <c r="B179" s="49"/>
      <c r="C179" s="50"/>
    </row>
    <row r="180" spans="1:3" x14ac:dyDescent="0.25">
      <c r="A180" s="49"/>
      <c r="B180" s="49"/>
      <c r="C180" s="50"/>
    </row>
    <row r="181" spans="1:3" x14ac:dyDescent="0.25">
      <c r="A181" s="49"/>
      <c r="B181" s="49"/>
      <c r="C181" s="50"/>
    </row>
    <row r="182" spans="1:3" x14ac:dyDescent="0.25">
      <c r="A182" s="49"/>
      <c r="B182" s="49"/>
      <c r="C182" s="50"/>
    </row>
    <row r="183" spans="1:3" x14ac:dyDescent="0.25">
      <c r="A183" s="49"/>
      <c r="B183" s="49"/>
      <c r="C183" s="50"/>
    </row>
    <row r="184" spans="1:3" x14ac:dyDescent="0.25">
      <c r="A184" s="49"/>
      <c r="B184" s="49"/>
      <c r="C184" s="50"/>
    </row>
    <row r="185" spans="1:3" x14ac:dyDescent="0.25">
      <c r="A185" s="49"/>
      <c r="B185" s="49"/>
      <c r="C185" s="50"/>
    </row>
    <row r="186" spans="1:3" x14ac:dyDescent="0.25">
      <c r="A186" s="49"/>
      <c r="B186" s="49"/>
      <c r="C186" s="50"/>
    </row>
  </sheetData>
  <mergeCells count="1">
    <mergeCell ref="G1:H1"/>
  </mergeCells>
  <conditionalFormatting sqref="A2:A109">
    <cfRule type="containsText" dxfId="9" priority="8" operator="containsText" text="r3.">
      <formula>NOT(ISERROR(SEARCH("r3.",A2)))</formula>
    </cfRule>
    <cfRule type="containsText" dxfId="8" priority="9" operator="containsText" text="r4.">
      <formula>NOT(ISERROR(SEARCH("r4.",A2)))</formula>
    </cfRule>
  </conditionalFormatting>
  <conditionalFormatting sqref="A1:A1048576 D1:E1048576">
    <cfRule type="expression" dxfId="7" priority="10">
      <formula>MOD(ROW(),2)=0</formula>
    </cfRule>
  </conditionalFormatting>
  <conditionalFormatting sqref="C2:C109">
    <cfRule type="cellIs" dxfId="6" priority="4" operator="between">
      <formula>TODAY()-1000</formula>
      <formula>TODAY()+7</formula>
    </cfRule>
    <cfRule type="cellIs" dxfId="5" priority="5" operator="between">
      <formula>TODAY()+7</formula>
      <formula>TODAY()+37</formula>
    </cfRule>
    <cfRule type="cellIs" dxfId="4" priority="6" operator="greaterThan">
      <formula>TODAY()+37</formula>
    </cfRule>
  </conditionalFormatting>
  <conditionalFormatting sqref="B2:B109">
    <cfRule type="cellIs" dxfId="3" priority="1" operator="between">
      <formula>TODAY()-358</formula>
      <formula>TODAY()-1000</formula>
    </cfRule>
    <cfRule type="cellIs" dxfId="2" priority="2" operator="between">
      <formula>TODAY()-357</formula>
      <formula>TODAY()-328</formula>
    </cfRule>
    <cfRule type="cellIs" dxfId="1" priority="3" operator="between">
      <formula>TODAY()-327</formula>
      <formula>TODAY()</formula>
    </cfRule>
  </conditionalFormatting>
  <conditionalFormatting sqref="B1:C1048576">
    <cfRule type="expression" dxfId="0" priority="7">
      <formula>MOD(ROW(),2)=0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21"/>
  <sheetViews>
    <sheetView showGridLines="0" workbookViewId="0">
      <selection activeCell="E15" sqref="E15"/>
    </sheetView>
  </sheetViews>
  <sheetFormatPr defaultColWidth="11.42578125" defaultRowHeight="12.75" x14ac:dyDescent="0.2"/>
  <cols>
    <col min="1" max="1" width="19.5703125" style="53" customWidth="1"/>
    <col min="2" max="2" width="18.7109375" style="53" customWidth="1"/>
    <col min="3" max="3" width="13.28515625" style="53" bestFit="1" customWidth="1"/>
    <col min="4" max="4" width="13.42578125" style="53" customWidth="1"/>
    <col min="5" max="16384" width="11.42578125" style="53"/>
  </cols>
  <sheetData>
    <row r="1" spans="1:6" ht="13.5" thickBot="1" x14ac:dyDescent="0.25">
      <c r="A1" s="53" t="s">
        <v>816</v>
      </c>
    </row>
    <row r="2" spans="1:6" ht="13.5" thickBot="1" x14ac:dyDescent="0.25">
      <c r="A2" s="104" t="s">
        <v>824</v>
      </c>
      <c r="B2" s="105"/>
    </row>
    <row r="4" spans="1:6" x14ac:dyDescent="0.2">
      <c r="A4" s="54" t="s">
        <v>817</v>
      </c>
      <c r="B4" s="55" t="str">
        <f>ipmask(A2)</f>
        <v>255.255.255.252</v>
      </c>
      <c r="C4" s="56" t="s">
        <v>818</v>
      </c>
      <c r="D4" s="55" t="str">
        <f>ipwildmask(A2)</f>
        <v>0.0.0.3</v>
      </c>
    </row>
    <row r="5" spans="1:6" x14ac:dyDescent="0.2">
      <c r="A5" s="54" t="s">
        <v>819</v>
      </c>
      <c r="B5" s="55">
        <f>ipsubnetsize(A2)</f>
        <v>4</v>
      </c>
      <c r="C5" s="57"/>
      <c r="D5" s="57"/>
      <c r="E5" s="57"/>
      <c r="F5" s="57"/>
    </row>
    <row r="6" spans="1:6" x14ac:dyDescent="0.2">
      <c r="A6" s="54" t="s">
        <v>820</v>
      </c>
      <c r="B6" s="55" t="str">
        <f>ipand(ipwithoutmask(A2),B4)</f>
        <v>172.30.22.28</v>
      </c>
      <c r="C6" s="57"/>
      <c r="D6" s="57"/>
      <c r="E6" s="57"/>
      <c r="F6" s="57"/>
    </row>
    <row r="7" spans="1:6" x14ac:dyDescent="0.2">
      <c r="A7" s="54" t="s">
        <v>821</v>
      </c>
      <c r="B7" s="55" t="str">
        <f>ipadd(B6,1)</f>
        <v>172.30.22.29</v>
      </c>
      <c r="C7" s="57"/>
      <c r="D7" s="57"/>
      <c r="E7" s="57"/>
      <c r="F7" s="57"/>
    </row>
    <row r="8" spans="1:6" x14ac:dyDescent="0.2">
      <c r="A8" s="54" t="s">
        <v>822</v>
      </c>
      <c r="B8" s="55" t="str">
        <f>ipadd(B6,B5-2)</f>
        <v>172.30.22.30</v>
      </c>
      <c r="C8" s="57"/>
      <c r="D8" s="57"/>
      <c r="E8" s="57"/>
      <c r="F8" s="57"/>
    </row>
    <row r="9" spans="1:6" x14ac:dyDescent="0.2">
      <c r="A9" s="54" t="s">
        <v>823</v>
      </c>
      <c r="B9" s="55" t="str">
        <f>ipadd(B6,B5-1)</f>
        <v>172.30.22.31</v>
      </c>
      <c r="C9" s="57"/>
      <c r="D9" s="57"/>
      <c r="E9" s="57"/>
      <c r="F9" s="57"/>
    </row>
    <row r="10" spans="1:6" x14ac:dyDescent="0.2">
      <c r="C10" s="57"/>
      <c r="D10" s="57"/>
      <c r="E10" s="57"/>
      <c r="F10" s="57"/>
    </row>
    <row r="11" spans="1:6" x14ac:dyDescent="0.2">
      <c r="A11" s="58"/>
      <c r="C11" s="57"/>
      <c r="D11" s="57"/>
      <c r="E11" s="57"/>
      <c r="F11" s="57"/>
    </row>
    <row r="12" spans="1:6" x14ac:dyDescent="0.2">
      <c r="C12" s="57"/>
      <c r="D12" s="57"/>
      <c r="E12" s="57"/>
      <c r="F12" s="57"/>
    </row>
    <row r="13" spans="1:6" x14ac:dyDescent="0.2">
      <c r="C13" s="57"/>
      <c r="D13" s="57"/>
      <c r="E13" s="57"/>
      <c r="F13" s="57"/>
    </row>
    <row r="14" spans="1:6" x14ac:dyDescent="0.2">
      <c r="C14" s="57"/>
      <c r="D14" s="57"/>
      <c r="E14" s="57"/>
      <c r="F14" s="57"/>
    </row>
    <row r="19" spans="1:2" x14ac:dyDescent="0.2">
      <c r="A19" s="59"/>
    </row>
    <row r="21" spans="1:2" x14ac:dyDescent="0.2">
      <c r="B21" s="58"/>
    </row>
  </sheetData>
  <mergeCells count="1">
    <mergeCell ref="A2:B2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31"/>
  <sheetViews>
    <sheetView showGridLines="0" workbookViewId="0">
      <selection activeCell="B3" sqref="B3"/>
    </sheetView>
  </sheetViews>
  <sheetFormatPr defaultColWidth="11.42578125" defaultRowHeight="12.75" x14ac:dyDescent="0.2"/>
  <cols>
    <col min="1" max="1" width="20.85546875" style="61" customWidth="1"/>
    <col min="2" max="2" width="28.42578125" style="61" customWidth="1"/>
    <col min="3" max="3" width="24" style="61" customWidth="1"/>
    <col min="4" max="4" width="16.5703125" style="61" customWidth="1"/>
    <col min="5" max="5" width="33" style="61" bestFit="1" customWidth="1"/>
    <col min="6" max="6" width="29.7109375" style="61" bestFit="1" customWidth="1"/>
    <col min="7" max="16384" width="11.42578125" style="61"/>
  </cols>
  <sheetData>
    <row r="1" spans="1:5" ht="20.25" x14ac:dyDescent="0.3">
      <c r="A1" s="60" t="s">
        <v>825</v>
      </c>
    </row>
    <row r="2" spans="1:5" x14ac:dyDescent="0.2">
      <c r="A2" s="62" t="s">
        <v>826</v>
      </c>
      <c r="B2" s="62" t="s">
        <v>827</v>
      </c>
      <c r="C2" s="62" t="s">
        <v>828</v>
      </c>
      <c r="D2" s="62" t="s">
        <v>829</v>
      </c>
      <c r="E2" s="62" t="s">
        <v>830</v>
      </c>
    </row>
    <row r="3" spans="1:5" x14ac:dyDescent="0.2">
      <c r="A3" s="63" t="s">
        <v>831</v>
      </c>
      <c r="B3" s="64" t="s">
        <v>832</v>
      </c>
      <c r="C3" s="65">
        <v>1</v>
      </c>
      <c r="D3" s="63" t="str">
        <f>ipadd(B3,C3)</f>
        <v>192.168.1.2</v>
      </c>
      <c r="E3" s="63" t="s">
        <v>833</v>
      </c>
    </row>
    <row r="4" spans="1:5" x14ac:dyDescent="0.2">
      <c r="A4" s="63" t="s">
        <v>831</v>
      </c>
      <c r="B4" s="64" t="s">
        <v>832</v>
      </c>
      <c r="C4" s="65">
        <v>-2</v>
      </c>
      <c r="D4" s="63" t="str">
        <f>ipadd(B4,C4)</f>
        <v>192.168.0.255</v>
      </c>
      <c r="E4" s="63" t="s">
        <v>834</v>
      </c>
    </row>
    <row r="5" spans="1:5" x14ac:dyDescent="0.2">
      <c r="A5" s="63" t="s">
        <v>835</v>
      </c>
      <c r="B5" s="64" t="s">
        <v>836</v>
      </c>
      <c r="C5" s="65" t="s">
        <v>832</v>
      </c>
      <c r="D5" s="63">
        <f>ipdiff(B5,C5)</f>
        <v>256</v>
      </c>
      <c r="E5" s="63" t="s">
        <v>837</v>
      </c>
    </row>
    <row r="6" spans="1:5" x14ac:dyDescent="0.2">
      <c r="A6" s="63" t="s">
        <v>838</v>
      </c>
      <c r="B6" s="64" t="s">
        <v>836</v>
      </c>
      <c r="C6" s="65" t="s">
        <v>839</v>
      </c>
      <c r="D6" s="63" t="str">
        <f>ipand(B6,C6)</f>
        <v>192.168.2.0</v>
      </c>
      <c r="E6" s="63" t="s">
        <v>840</v>
      </c>
    </row>
    <row r="7" spans="1:5" x14ac:dyDescent="0.2">
      <c r="A7" s="63" t="s">
        <v>841</v>
      </c>
      <c r="B7" s="64" t="s">
        <v>842</v>
      </c>
      <c r="D7" s="63" t="str">
        <f>ipmask(B7)</f>
        <v>255.255.255.0</v>
      </c>
      <c r="E7" s="63" t="s">
        <v>843</v>
      </c>
    </row>
    <row r="8" spans="1:5" x14ac:dyDescent="0.2">
      <c r="A8" s="63" t="s">
        <v>844</v>
      </c>
      <c r="B8" s="64" t="s">
        <v>842</v>
      </c>
      <c r="D8" s="63" t="str">
        <f>ipwildmask(B8)</f>
        <v>0.0.0.255</v>
      </c>
      <c r="E8" s="63" t="s">
        <v>845</v>
      </c>
    </row>
    <row r="9" spans="1:5" x14ac:dyDescent="0.2">
      <c r="A9" s="63" t="s">
        <v>846</v>
      </c>
      <c r="B9" s="64" t="s">
        <v>832</v>
      </c>
      <c r="D9" s="63" t="b">
        <f>ipisprivate(B9)</f>
        <v>1</v>
      </c>
      <c r="E9" s="63" t="s">
        <v>847</v>
      </c>
    </row>
    <row r="10" spans="1:5" x14ac:dyDescent="0.2">
      <c r="A10" s="63" t="s">
        <v>848</v>
      </c>
      <c r="B10" s="64" t="s">
        <v>832</v>
      </c>
      <c r="C10" s="65" t="s">
        <v>849</v>
      </c>
      <c r="D10" s="63" t="b">
        <f>ipisinsubnet(B10,C10)</f>
        <v>0</v>
      </c>
      <c r="E10" s="63" t="s">
        <v>850</v>
      </c>
    </row>
    <row r="11" spans="1:5" x14ac:dyDescent="0.2">
      <c r="A11" s="63" t="s">
        <v>848</v>
      </c>
      <c r="B11" s="64" t="s">
        <v>851</v>
      </c>
      <c r="C11" s="65" t="s">
        <v>849</v>
      </c>
      <c r="D11" s="63" t="b">
        <f>ipisinsubnet(B11,C11)</f>
        <v>1</v>
      </c>
      <c r="E11" s="63" t="s">
        <v>850</v>
      </c>
    </row>
    <row r="12" spans="1:5" x14ac:dyDescent="0.2">
      <c r="A12" s="63" t="s">
        <v>848</v>
      </c>
      <c r="B12" s="64" t="s">
        <v>851</v>
      </c>
      <c r="C12" s="65" t="s">
        <v>852</v>
      </c>
      <c r="D12" s="63" t="b">
        <f>ipisinsubnet(B12,C12)</f>
        <v>1</v>
      </c>
      <c r="E12" s="63" t="s">
        <v>850</v>
      </c>
    </row>
    <row r="13" spans="1:5" x14ac:dyDescent="0.2">
      <c r="A13" s="66" t="s">
        <v>853</v>
      </c>
      <c r="B13" s="64" t="s">
        <v>854</v>
      </c>
      <c r="C13" s="65" t="s">
        <v>849</v>
      </c>
      <c r="D13" s="63" t="b">
        <f>ipsubnetisinsubnet(B13,C13)</f>
        <v>1</v>
      </c>
      <c r="E13" s="63" t="s">
        <v>855</v>
      </c>
    </row>
    <row r="14" spans="1:5" x14ac:dyDescent="0.2">
      <c r="A14" s="66" t="s">
        <v>853</v>
      </c>
      <c r="B14" s="64" t="s">
        <v>856</v>
      </c>
      <c r="C14" s="65" t="s">
        <v>852</v>
      </c>
      <c r="D14" s="63" t="b">
        <f>ipsubnetisinsubnet(B14,C14)</f>
        <v>1</v>
      </c>
      <c r="E14" s="63" t="s">
        <v>855</v>
      </c>
    </row>
    <row r="15" spans="1:5" x14ac:dyDescent="0.2">
      <c r="A15" s="63" t="s">
        <v>853</v>
      </c>
      <c r="B15" s="64" t="s">
        <v>854</v>
      </c>
      <c r="C15" s="65" t="s">
        <v>857</v>
      </c>
      <c r="D15" s="63" t="b">
        <f>ipsubnetisinsubnet(B15,C15)</f>
        <v>0</v>
      </c>
      <c r="E15" s="63" t="s">
        <v>855</v>
      </c>
    </row>
    <row r="16" spans="1:5" x14ac:dyDescent="0.2">
      <c r="A16" s="66" t="s">
        <v>858</v>
      </c>
      <c r="B16" s="64" t="s">
        <v>859</v>
      </c>
      <c r="D16" s="63">
        <f>IpMaskLen(B16)</f>
        <v>23</v>
      </c>
      <c r="E16" s="63" t="s">
        <v>860</v>
      </c>
    </row>
    <row r="17" spans="1:6" x14ac:dyDescent="0.2">
      <c r="A17" s="63" t="s">
        <v>861</v>
      </c>
      <c r="B17" s="64" t="s">
        <v>854</v>
      </c>
      <c r="D17" s="63" t="str">
        <f>ipwithoutmask(B17)</f>
        <v>192.168.0.128</v>
      </c>
      <c r="E17" s="63" t="s">
        <v>862</v>
      </c>
    </row>
    <row r="18" spans="1:6" x14ac:dyDescent="0.2">
      <c r="A18" s="63" t="s">
        <v>863</v>
      </c>
      <c r="B18" s="64" t="s">
        <v>832</v>
      </c>
      <c r="D18" s="63">
        <f>IpStrToBin(B18)</f>
        <v>3232235777</v>
      </c>
      <c r="E18" s="63" t="s">
        <v>864</v>
      </c>
    </row>
    <row r="19" spans="1:6" x14ac:dyDescent="0.2">
      <c r="A19" s="63" t="s">
        <v>865</v>
      </c>
      <c r="B19" s="64">
        <v>3232235777</v>
      </c>
      <c r="D19" s="63" t="str">
        <f>IpBinToStr(B19)</f>
        <v>192.168.1.1</v>
      </c>
      <c r="E19" s="63" t="s">
        <v>866</v>
      </c>
    </row>
    <row r="20" spans="1:6" x14ac:dyDescent="0.2">
      <c r="A20" s="63" t="s">
        <v>867</v>
      </c>
      <c r="B20" s="64" t="s">
        <v>836</v>
      </c>
      <c r="C20" s="64">
        <v>1</v>
      </c>
      <c r="D20" s="63">
        <f>IpGetByte(B20,C20)</f>
        <v>192</v>
      </c>
      <c r="E20" s="63"/>
    </row>
    <row r="21" spans="1:6" x14ac:dyDescent="0.2">
      <c r="A21" s="63" t="s">
        <v>868</v>
      </c>
      <c r="B21" s="64" t="s">
        <v>842</v>
      </c>
      <c r="D21" s="63">
        <f>ipsubnetlen(B21)</f>
        <v>24</v>
      </c>
      <c r="E21" s="63"/>
    </row>
    <row r="22" spans="1:6" x14ac:dyDescent="0.2">
      <c r="A22" s="63" t="s">
        <v>868</v>
      </c>
      <c r="B22" s="64" t="s">
        <v>869</v>
      </c>
      <c r="D22" s="63">
        <f>ipsubnetlen(B22)</f>
        <v>24</v>
      </c>
      <c r="E22" s="63"/>
    </row>
    <row r="23" spans="1:6" x14ac:dyDescent="0.2">
      <c r="A23" s="63" t="s">
        <v>870</v>
      </c>
      <c r="B23" s="64" t="s">
        <v>871</v>
      </c>
      <c r="D23" s="63" t="str">
        <f>IpInvertMask(B23)</f>
        <v>255.255.255.0</v>
      </c>
      <c r="E23" s="63"/>
    </row>
    <row r="24" spans="1:6" x14ac:dyDescent="0.2">
      <c r="A24" s="63" t="s">
        <v>872</v>
      </c>
      <c r="B24" s="64" t="s">
        <v>832</v>
      </c>
      <c r="D24" s="63" t="b">
        <f>IpIsValid(B24)</f>
        <v>1</v>
      </c>
      <c r="E24" s="63"/>
    </row>
    <row r="25" spans="1:6" x14ac:dyDescent="0.2">
      <c r="A25" s="63" t="s">
        <v>873</v>
      </c>
      <c r="B25" s="64" t="s">
        <v>874</v>
      </c>
      <c r="D25" s="63" t="str">
        <f>IpClearHostBits(B25)</f>
        <v>192.168.1.128/25</v>
      </c>
      <c r="E25" s="63"/>
    </row>
    <row r="27" spans="1:6" x14ac:dyDescent="0.2">
      <c r="A27" s="62" t="s">
        <v>826</v>
      </c>
      <c r="B27" s="62" t="s">
        <v>827</v>
      </c>
      <c r="C27" s="62" t="s">
        <v>828</v>
      </c>
      <c r="D27" s="62" t="s">
        <v>875</v>
      </c>
      <c r="E27" s="62" t="s">
        <v>829</v>
      </c>
      <c r="F27" s="62" t="s">
        <v>830</v>
      </c>
    </row>
    <row r="28" spans="1:6" x14ac:dyDescent="0.2">
      <c r="A28" s="63" t="s">
        <v>876</v>
      </c>
      <c r="B28" s="64" t="s">
        <v>836</v>
      </c>
      <c r="C28" s="64">
        <v>4</v>
      </c>
      <c r="D28" s="64">
        <v>55</v>
      </c>
      <c r="E28" s="63" t="str">
        <f>IpSetByte(B28,C28,D28)</f>
        <v>192.168.2.55</v>
      </c>
      <c r="F28" s="66" t="s">
        <v>877</v>
      </c>
    </row>
    <row r="29" spans="1:6" x14ac:dyDescent="0.2">
      <c r="A29" s="63" t="s">
        <v>878</v>
      </c>
      <c r="B29" s="64" t="s">
        <v>879</v>
      </c>
      <c r="C29" s="64">
        <v>1</v>
      </c>
      <c r="D29" s="64">
        <v>0</v>
      </c>
      <c r="E29" s="63" t="str">
        <f>IpDivideSubnet(B29,C29,D29)</f>
        <v>192.168.0.0/24</v>
      </c>
      <c r="F29" s="63"/>
    </row>
    <row r="30" spans="1:6" x14ac:dyDescent="0.2">
      <c r="A30" s="63" t="s">
        <v>878</v>
      </c>
      <c r="B30" s="64" t="s">
        <v>879</v>
      </c>
      <c r="C30" s="64">
        <v>1</v>
      </c>
      <c r="D30" s="64">
        <v>1</v>
      </c>
      <c r="E30" s="63" t="str">
        <f>IpDivideSubnet(B30,C30,D30)</f>
        <v>192.168.1.0/24</v>
      </c>
      <c r="F30" s="63"/>
    </row>
    <row r="31" spans="1:6" x14ac:dyDescent="0.2">
      <c r="D31" s="67" t="s">
        <v>880</v>
      </c>
    </row>
  </sheetData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9"/>
  <sheetViews>
    <sheetView showGridLines="0" workbookViewId="0">
      <selection activeCell="D13" sqref="D13"/>
    </sheetView>
  </sheetViews>
  <sheetFormatPr defaultColWidth="11.42578125" defaultRowHeight="12.75" x14ac:dyDescent="0.2"/>
  <cols>
    <col min="1" max="1" width="15.28515625" style="61" bestFit="1" customWidth="1"/>
    <col min="2" max="2" width="19.28515625" style="61" customWidth="1"/>
    <col min="3" max="3" width="22.42578125" style="61" bestFit="1" customWidth="1"/>
    <col min="4" max="4" width="17.7109375" style="61" customWidth="1"/>
    <col min="5" max="5" width="13.7109375" style="61" customWidth="1"/>
    <col min="6" max="6" width="14.28515625" style="61" bestFit="1" customWidth="1"/>
    <col min="7" max="7" width="4.7109375" style="61" customWidth="1"/>
    <col min="8" max="16384" width="11.42578125" style="61"/>
  </cols>
  <sheetData>
    <row r="1" spans="1:4" x14ac:dyDescent="0.2">
      <c r="A1" s="68" t="s">
        <v>881</v>
      </c>
    </row>
    <row r="2" spans="1:4" x14ac:dyDescent="0.2">
      <c r="A2" s="69" t="s">
        <v>882</v>
      </c>
    </row>
    <row r="3" spans="1:4" x14ac:dyDescent="0.2">
      <c r="A3" s="61" t="s">
        <v>883</v>
      </c>
      <c r="D3" s="70"/>
    </row>
    <row r="4" spans="1:4" x14ac:dyDescent="0.2">
      <c r="A4" s="71" t="s">
        <v>857</v>
      </c>
      <c r="B4" s="71" t="s">
        <v>884</v>
      </c>
    </row>
    <row r="5" spans="1:4" x14ac:dyDescent="0.2">
      <c r="A5" s="71" t="s">
        <v>854</v>
      </c>
      <c r="B5" s="71" t="s">
        <v>885</v>
      </c>
    </row>
    <row r="6" spans="1:4" x14ac:dyDescent="0.2">
      <c r="A6" s="71" t="s">
        <v>886</v>
      </c>
      <c r="B6" s="71" t="s">
        <v>887</v>
      </c>
    </row>
    <row r="7" spans="1:4" x14ac:dyDescent="0.2">
      <c r="A7" s="71" t="s">
        <v>888</v>
      </c>
      <c r="B7" s="71" t="s">
        <v>889</v>
      </c>
    </row>
    <row r="8" spans="1:4" x14ac:dyDescent="0.2">
      <c r="A8" s="71" t="s">
        <v>890</v>
      </c>
      <c r="B8" s="71" t="s">
        <v>891</v>
      </c>
    </row>
    <row r="10" spans="1:4" x14ac:dyDescent="0.2">
      <c r="A10" s="61" t="s">
        <v>892</v>
      </c>
      <c r="B10" s="71" t="s">
        <v>893</v>
      </c>
    </row>
    <row r="11" spans="1:4" x14ac:dyDescent="0.2">
      <c r="A11" s="70" t="s">
        <v>894</v>
      </c>
      <c r="B11" s="61" t="s">
        <v>895</v>
      </c>
      <c r="C11" s="61" t="str">
        <f>IpSubnetVLookup(B10,$A$4:$B$8,2)</f>
        <v>Paris</v>
      </c>
    </row>
    <row r="12" spans="1:4" x14ac:dyDescent="0.2">
      <c r="B12" s="61" t="s">
        <v>896</v>
      </c>
      <c r="C12" s="61">
        <f>IpSubnetMatch(B10,$A$4:$B$8)</f>
        <v>1</v>
      </c>
    </row>
    <row r="14" spans="1:4" x14ac:dyDescent="0.2">
      <c r="A14" s="68" t="s">
        <v>897</v>
      </c>
    </row>
    <row r="16" spans="1:4" x14ac:dyDescent="0.2">
      <c r="A16" s="70" t="s">
        <v>898</v>
      </c>
      <c r="B16" s="71" t="s">
        <v>899</v>
      </c>
    </row>
    <row r="17" spans="1:4" x14ac:dyDescent="0.2">
      <c r="A17" s="70" t="s">
        <v>894</v>
      </c>
      <c r="B17" s="70" t="s">
        <v>895</v>
      </c>
      <c r="C17" s="61" t="str">
        <f>IpSubnetVLookup(B16,$A$4:$B$8,2)</f>
        <v>Rennes</v>
      </c>
    </row>
    <row r="18" spans="1:4" x14ac:dyDescent="0.2">
      <c r="B18" s="61" t="s">
        <v>896</v>
      </c>
      <c r="C18" s="61">
        <f>IpSubnetMatch(B16,$A$4:$B$8)</f>
        <v>2</v>
      </c>
    </row>
    <row r="20" spans="1:4" x14ac:dyDescent="0.2">
      <c r="A20" s="68" t="s">
        <v>900</v>
      </c>
    </row>
    <row r="22" spans="1:4" x14ac:dyDescent="0.2">
      <c r="A22" s="70" t="s">
        <v>901</v>
      </c>
    </row>
    <row r="24" spans="1:4" x14ac:dyDescent="0.2">
      <c r="A24" s="71" t="s">
        <v>849</v>
      </c>
      <c r="B24" s="71" t="s">
        <v>884</v>
      </c>
      <c r="C24" s="70" t="s">
        <v>902</v>
      </c>
      <c r="D24" s="61" t="str">
        <f t="array" ref="D24:D29">IpFindOverlappingSubnets(A24:A29)</f>
        <v/>
      </c>
    </row>
    <row r="25" spans="1:4" x14ac:dyDescent="0.2">
      <c r="A25" s="71" t="s">
        <v>854</v>
      </c>
      <c r="B25" s="71" t="s">
        <v>885</v>
      </c>
      <c r="C25" s="70" t="s">
        <v>902</v>
      </c>
      <c r="D25" s="61" t="str">
        <v>192.168.0.0/24</v>
      </c>
    </row>
    <row r="26" spans="1:4" x14ac:dyDescent="0.2">
      <c r="A26" s="71" t="s">
        <v>886</v>
      </c>
      <c r="B26" s="71" t="s">
        <v>887</v>
      </c>
      <c r="C26" s="70" t="s">
        <v>902</v>
      </c>
      <c r="D26" s="61" t="str">
        <v/>
      </c>
    </row>
    <row r="27" spans="1:4" x14ac:dyDescent="0.2">
      <c r="A27" s="71" t="s">
        <v>903</v>
      </c>
      <c r="B27" s="71" t="s">
        <v>904</v>
      </c>
      <c r="C27" s="70" t="s">
        <v>902</v>
      </c>
      <c r="D27" s="61" t="str">
        <v/>
      </c>
    </row>
    <row r="28" spans="1:4" x14ac:dyDescent="0.2">
      <c r="A28" s="71" t="s">
        <v>905</v>
      </c>
      <c r="B28" s="71" t="s">
        <v>906</v>
      </c>
      <c r="C28" s="70" t="s">
        <v>902</v>
      </c>
      <c r="D28" s="61" t="str">
        <v/>
      </c>
    </row>
    <row r="29" spans="1:4" x14ac:dyDescent="0.2">
      <c r="A29" s="71" t="s">
        <v>907</v>
      </c>
      <c r="B29" s="71" t="s">
        <v>908</v>
      </c>
      <c r="C29" s="70" t="s">
        <v>902</v>
      </c>
      <c r="D29" s="61" t="str">
        <v>192.168.2.0/24</v>
      </c>
    </row>
  </sheetData>
  <pageMargins left="0.78740157499999996" right="0.78740157499999996" top="0.984251969" bottom="0.984251969" header="0.4921259845" footer="0.4921259845"/>
  <pageSetup paperSize="9" orientation="portrait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55"/>
  <sheetViews>
    <sheetView showGridLines="0" workbookViewId="0">
      <selection activeCell="D50" sqref="D50"/>
    </sheetView>
  </sheetViews>
  <sheetFormatPr defaultColWidth="11.42578125" defaultRowHeight="12.75" x14ac:dyDescent="0.2"/>
  <cols>
    <col min="1" max="1" width="20.5703125" style="61" customWidth="1"/>
    <col min="2" max="2" width="16.42578125" style="61" bestFit="1" customWidth="1"/>
    <col min="3" max="3" width="15.28515625" style="61" customWidth="1"/>
    <col min="4" max="16384" width="11.42578125" style="61"/>
  </cols>
  <sheetData>
    <row r="1" spans="1:2" ht="18" x14ac:dyDescent="0.25">
      <c r="A1" s="72" t="s">
        <v>909</v>
      </c>
    </row>
    <row r="2" spans="1:2" ht="18" x14ac:dyDescent="0.25">
      <c r="A2" s="72" t="s">
        <v>910</v>
      </c>
    </row>
    <row r="3" spans="1:2" x14ac:dyDescent="0.2">
      <c r="A3" s="61" t="s">
        <v>911</v>
      </c>
    </row>
    <row r="5" spans="1:2" x14ac:dyDescent="0.2">
      <c r="A5" s="71" t="s">
        <v>912</v>
      </c>
      <c r="B5" s="63">
        <f>IpStrToBin(A5)</f>
        <v>3232235787</v>
      </c>
    </row>
    <row r="6" spans="1:2" x14ac:dyDescent="0.2">
      <c r="A6" s="71" t="s">
        <v>913</v>
      </c>
      <c r="B6" s="63">
        <f t="shared" ref="B6:B14" si="0">IpStrToBin(A6)</f>
        <v>3232236034</v>
      </c>
    </row>
    <row r="7" spans="1:2" x14ac:dyDescent="0.2">
      <c r="A7" s="71" t="s">
        <v>914</v>
      </c>
      <c r="B7" s="63">
        <f t="shared" si="0"/>
        <v>3232235779</v>
      </c>
    </row>
    <row r="8" spans="1:2" x14ac:dyDescent="0.2">
      <c r="A8" s="71" t="s">
        <v>915</v>
      </c>
      <c r="B8" s="63">
        <f t="shared" si="0"/>
        <v>3232235780</v>
      </c>
    </row>
    <row r="9" spans="1:2" x14ac:dyDescent="0.2">
      <c r="A9" s="71" t="s">
        <v>916</v>
      </c>
      <c r="B9" s="63">
        <f t="shared" si="0"/>
        <v>3232261125</v>
      </c>
    </row>
    <row r="10" spans="1:2" x14ac:dyDescent="0.2">
      <c r="A10" s="71" t="s">
        <v>917</v>
      </c>
      <c r="B10" s="63">
        <f t="shared" si="0"/>
        <v>3232235782</v>
      </c>
    </row>
    <row r="11" spans="1:2" x14ac:dyDescent="0.2">
      <c r="A11" s="71" t="s">
        <v>918</v>
      </c>
      <c r="B11" s="63">
        <f t="shared" si="0"/>
        <v>3232235853</v>
      </c>
    </row>
    <row r="12" spans="1:2" x14ac:dyDescent="0.2">
      <c r="A12" s="71" t="s">
        <v>919</v>
      </c>
      <c r="B12" s="63">
        <f t="shared" si="0"/>
        <v>3232235784</v>
      </c>
    </row>
    <row r="13" spans="1:2" x14ac:dyDescent="0.2">
      <c r="A13" s="71" t="s">
        <v>920</v>
      </c>
      <c r="B13" s="63">
        <f t="shared" si="0"/>
        <v>3232235785</v>
      </c>
    </row>
    <row r="14" spans="1:2" x14ac:dyDescent="0.2">
      <c r="A14" s="71" t="s">
        <v>921</v>
      </c>
      <c r="B14" s="63">
        <f t="shared" si="0"/>
        <v>3232235786</v>
      </c>
    </row>
    <row r="16" spans="1:2" ht="18" x14ac:dyDescent="0.25">
      <c r="A16" s="72" t="s">
        <v>922</v>
      </c>
    </row>
    <row r="17" spans="1:2" x14ac:dyDescent="0.2">
      <c r="A17" s="70" t="s">
        <v>923</v>
      </c>
    </row>
    <row r="19" spans="1:2" x14ac:dyDescent="0.2">
      <c r="A19" s="71" t="s">
        <v>912</v>
      </c>
      <c r="B19" s="63" t="str">
        <f t="array" ref="B19:B28">IpSortArray(A19:A28)</f>
        <v>192.168.1.2</v>
      </c>
    </row>
    <row r="20" spans="1:2" x14ac:dyDescent="0.2">
      <c r="A20" s="71" t="s">
        <v>924</v>
      </c>
      <c r="B20" s="63" t="str">
        <v>192.168.1.3</v>
      </c>
    </row>
    <row r="21" spans="1:2" x14ac:dyDescent="0.2">
      <c r="A21" s="71" t="s">
        <v>915</v>
      </c>
      <c r="B21" s="63" t="str">
        <v>192.168.1.4</v>
      </c>
    </row>
    <row r="22" spans="1:2" x14ac:dyDescent="0.2">
      <c r="A22" s="71" t="s">
        <v>914</v>
      </c>
      <c r="B22" s="63" t="str">
        <v>192.168.1.6</v>
      </c>
    </row>
    <row r="23" spans="1:2" x14ac:dyDescent="0.2">
      <c r="A23" s="71" t="s">
        <v>916</v>
      </c>
      <c r="B23" s="63" t="str">
        <v>192.168.1.8</v>
      </c>
    </row>
    <row r="24" spans="1:2" x14ac:dyDescent="0.2">
      <c r="A24" s="71" t="s">
        <v>917</v>
      </c>
      <c r="B24" s="63" t="str">
        <v>192.168.1.9</v>
      </c>
    </row>
    <row r="25" spans="1:2" x14ac:dyDescent="0.2">
      <c r="A25" s="71" t="s">
        <v>918</v>
      </c>
      <c r="B25" s="63" t="str">
        <v>192.168.1.10</v>
      </c>
    </row>
    <row r="26" spans="1:2" x14ac:dyDescent="0.2">
      <c r="A26" s="71" t="s">
        <v>919</v>
      </c>
      <c r="B26" s="63" t="str">
        <v>192.168.1.11</v>
      </c>
    </row>
    <row r="27" spans="1:2" x14ac:dyDescent="0.2">
      <c r="A27" s="71" t="s">
        <v>920</v>
      </c>
      <c r="B27" s="63" t="str">
        <v>192.168.1.77</v>
      </c>
    </row>
    <row r="28" spans="1:2" x14ac:dyDescent="0.2">
      <c r="A28" s="71" t="s">
        <v>921</v>
      </c>
      <c r="B28" s="63" t="str">
        <v>192.168.100.5</v>
      </c>
    </row>
    <row r="30" spans="1:2" x14ac:dyDescent="0.2">
      <c r="A30" s="70" t="s">
        <v>925</v>
      </c>
    </row>
    <row r="31" spans="1:2" x14ac:dyDescent="0.2">
      <c r="A31" s="70" t="s">
        <v>926</v>
      </c>
    </row>
    <row r="32" spans="1:2" x14ac:dyDescent="0.2">
      <c r="A32" s="70" t="s">
        <v>927</v>
      </c>
    </row>
    <row r="33" spans="1:2" x14ac:dyDescent="0.2">
      <c r="A33" s="70" t="s">
        <v>928</v>
      </c>
    </row>
    <row r="34" spans="1:2" x14ac:dyDescent="0.2">
      <c r="A34" s="70" t="s">
        <v>929</v>
      </c>
    </row>
    <row r="35" spans="1:2" x14ac:dyDescent="0.2">
      <c r="A35" s="70" t="s">
        <v>930</v>
      </c>
    </row>
    <row r="37" spans="1:2" x14ac:dyDescent="0.2">
      <c r="A37" s="61" t="s">
        <v>931</v>
      </c>
    </row>
    <row r="38" spans="1:2" x14ac:dyDescent="0.2">
      <c r="A38" s="71" t="s">
        <v>932</v>
      </c>
      <c r="B38" s="63" t="str">
        <f t="array" ref="B38:B42">IpSubnetSortArray(A38:A42)</f>
        <v>192.168.1.0/25</v>
      </c>
    </row>
    <row r="39" spans="1:2" x14ac:dyDescent="0.2">
      <c r="A39" s="71" t="s">
        <v>905</v>
      </c>
      <c r="B39" s="63" t="str">
        <v>192.168.1.0/24</v>
      </c>
    </row>
    <row r="40" spans="1:2" x14ac:dyDescent="0.2">
      <c r="A40" s="71" t="s">
        <v>933</v>
      </c>
      <c r="B40" s="63" t="str">
        <v>192.168.2.0/24</v>
      </c>
    </row>
    <row r="41" spans="1:2" x14ac:dyDescent="0.2">
      <c r="A41" s="71" t="s">
        <v>934</v>
      </c>
      <c r="B41" s="63" t="str">
        <v>192.168.10.0/24</v>
      </c>
    </row>
    <row r="42" spans="1:2" x14ac:dyDescent="0.2">
      <c r="A42" s="71" t="s">
        <v>842</v>
      </c>
      <c r="B42" s="63" t="str">
        <v>192.168.10.128/25</v>
      </c>
    </row>
    <row r="45" spans="1:2" x14ac:dyDescent="0.2">
      <c r="A45" s="61" t="s">
        <v>935</v>
      </c>
    </row>
    <row r="46" spans="1:2" x14ac:dyDescent="0.2">
      <c r="A46" s="71" t="s">
        <v>932</v>
      </c>
      <c r="B46" s="63" t="str">
        <f t="array" ref="B46:B55">IpSubnetSortJoinArray(A46:A55)</f>
        <v xml:space="preserve">192.168.1.0/25 </v>
      </c>
    </row>
    <row r="47" spans="1:2" x14ac:dyDescent="0.2">
      <c r="A47" s="71" t="s">
        <v>905</v>
      </c>
      <c r="B47" s="63" t="str">
        <v xml:space="preserve">192.168.2.0/23 </v>
      </c>
    </row>
    <row r="48" spans="1:2" x14ac:dyDescent="0.2">
      <c r="A48" s="71" t="s">
        <v>933</v>
      </c>
      <c r="B48" s="63" t="str">
        <v xml:space="preserve">192.168.10.0/24 </v>
      </c>
    </row>
    <row r="49" spans="1:2" x14ac:dyDescent="0.2">
      <c r="A49" s="71" t="s">
        <v>934</v>
      </c>
      <c r="B49" s="63">
        <v>0</v>
      </c>
    </row>
    <row r="50" spans="1:2" x14ac:dyDescent="0.2">
      <c r="A50" s="71" t="s">
        <v>936</v>
      </c>
      <c r="B50" s="63">
        <v>0</v>
      </c>
    </row>
    <row r="51" spans="1:2" x14ac:dyDescent="0.2">
      <c r="A51" s="71" t="s">
        <v>932</v>
      </c>
      <c r="B51" s="63">
        <v>0</v>
      </c>
    </row>
    <row r="52" spans="1:2" x14ac:dyDescent="0.2">
      <c r="A52" s="71" t="s">
        <v>905</v>
      </c>
      <c r="B52" s="63">
        <v>0</v>
      </c>
    </row>
    <row r="53" spans="1:2" x14ac:dyDescent="0.2">
      <c r="A53" s="71" t="s">
        <v>933</v>
      </c>
      <c r="B53" s="63">
        <v>0</v>
      </c>
    </row>
    <row r="54" spans="1:2" x14ac:dyDescent="0.2">
      <c r="A54" s="71" t="s">
        <v>934</v>
      </c>
      <c r="B54" s="63">
        <v>0</v>
      </c>
    </row>
    <row r="55" spans="1:2" x14ac:dyDescent="0.2">
      <c r="A55" s="71" t="s">
        <v>905</v>
      </c>
      <c r="B55" s="63">
        <v>0</v>
      </c>
    </row>
  </sheetData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K1002"/>
  <sheetViews>
    <sheetView showGridLines="0" workbookViewId="0">
      <selection sqref="A1:XFD1048576"/>
    </sheetView>
  </sheetViews>
  <sheetFormatPr defaultColWidth="11.42578125" defaultRowHeight="12.75" x14ac:dyDescent="0.2"/>
  <cols>
    <col min="1" max="2" width="15.140625" style="61" customWidth="1"/>
    <col min="3" max="3" width="1.85546875" style="61" customWidth="1"/>
    <col min="4" max="4" width="23.85546875" style="61" bestFit="1" customWidth="1"/>
    <col min="5" max="5" width="27.140625" style="61" bestFit="1" customWidth="1"/>
    <col min="6" max="6" width="1.85546875" style="61" customWidth="1"/>
    <col min="7" max="7" width="34.28515625" style="61" customWidth="1"/>
    <col min="8" max="8" width="38.7109375" style="61" bestFit="1" customWidth="1"/>
    <col min="9" max="9" width="1.85546875" style="61" customWidth="1"/>
    <col min="10" max="10" width="12.42578125" style="61" customWidth="1"/>
    <col min="11" max="11" width="16.5703125" style="61" customWidth="1"/>
    <col min="12" max="16384" width="11.42578125" style="61"/>
  </cols>
  <sheetData>
    <row r="1" spans="1:11" x14ac:dyDescent="0.2">
      <c r="A1" s="61" t="s">
        <v>937</v>
      </c>
      <c r="D1" s="70" t="s">
        <v>938</v>
      </c>
      <c r="G1" s="61" t="s">
        <v>939</v>
      </c>
      <c r="J1" s="77"/>
      <c r="K1" s="77"/>
    </row>
    <row r="2" spans="1:11" x14ac:dyDescent="0.2">
      <c r="A2" s="63" t="s">
        <v>940</v>
      </c>
      <c r="B2" s="63" t="s">
        <v>829</v>
      </c>
      <c r="D2" s="66" t="s">
        <v>941</v>
      </c>
      <c r="E2" s="66" t="s">
        <v>942</v>
      </c>
      <c r="G2" s="63" t="s">
        <v>943</v>
      </c>
      <c r="H2" s="63" t="s">
        <v>829</v>
      </c>
      <c r="J2" s="77"/>
      <c r="K2" s="77"/>
    </row>
    <row r="3" spans="1:11" x14ac:dyDescent="0.2">
      <c r="A3" s="73" t="s">
        <v>912</v>
      </c>
      <c r="B3" s="78" t="str">
        <f t="array" ref="B3:B1002">IpSortArray(A3:A1002)</f>
        <v>192.168.1.2</v>
      </c>
      <c r="D3" s="73" t="s">
        <v>849</v>
      </c>
      <c r="E3" s="78" t="str">
        <f t="array" ref="E3:E1002">IpFindOverlappingSubnets(D3:D1002)</f>
        <v/>
      </c>
      <c r="G3" s="73" t="s">
        <v>944</v>
      </c>
      <c r="H3" s="78" t="str">
        <f t="array" ref="H3:H1002">IpSubnetSortJoinArray(G3:G1002)</f>
        <v>10.0.0.0 255.255.254.0 my.next.hop.1</v>
      </c>
      <c r="J3" s="77"/>
      <c r="K3" s="77"/>
    </row>
    <row r="4" spans="1:11" x14ac:dyDescent="0.2">
      <c r="A4" s="74" t="s">
        <v>924</v>
      </c>
      <c r="B4" s="79" t="str">
        <v>192.168.1.3</v>
      </c>
      <c r="D4" s="75" t="s">
        <v>854</v>
      </c>
      <c r="E4" s="79" t="str">
        <v>192.168.0.0/24</v>
      </c>
      <c r="G4" s="75" t="s">
        <v>945</v>
      </c>
      <c r="H4" s="79" t="str">
        <v xml:space="preserve">10.0.2.0/23 </v>
      </c>
      <c r="J4" s="77"/>
      <c r="K4" s="77"/>
    </row>
    <row r="5" spans="1:11" x14ac:dyDescent="0.2">
      <c r="A5" s="75" t="s">
        <v>914</v>
      </c>
      <c r="B5" s="79" t="str">
        <v>192.168.1.4</v>
      </c>
      <c r="D5" s="75" t="s">
        <v>886</v>
      </c>
      <c r="E5" s="79" t="str">
        <v/>
      </c>
      <c r="G5" s="75" t="s">
        <v>946</v>
      </c>
      <c r="H5" s="79" t="str">
        <v xml:space="preserve">10.0.4.0/24 </v>
      </c>
      <c r="J5" s="77"/>
      <c r="K5" s="77"/>
    </row>
    <row r="6" spans="1:11" x14ac:dyDescent="0.2">
      <c r="A6" s="75" t="s">
        <v>915</v>
      </c>
      <c r="B6" s="79" t="str">
        <v>192.168.1.6</v>
      </c>
      <c r="D6" s="75" t="s">
        <v>903</v>
      </c>
      <c r="E6" s="79" t="str">
        <v/>
      </c>
      <c r="G6" s="75" t="s">
        <v>947</v>
      </c>
      <c r="H6" s="79" t="str">
        <v>10.0.10.0/24 one route</v>
      </c>
      <c r="J6" s="77"/>
      <c r="K6" s="77"/>
    </row>
    <row r="7" spans="1:11" x14ac:dyDescent="0.2">
      <c r="A7" s="75" t="s">
        <v>916</v>
      </c>
      <c r="B7" s="79" t="str">
        <v>192.168.1.8</v>
      </c>
      <c r="D7" s="75" t="s">
        <v>948</v>
      </c>
      <c r="E7" s="79" t="str">
        <v/>
      </c>
      <c r="G7" s="75" t="s">
        <v>949</v>
      </c>
      <c r="H7" s="79" t="str">
        <v>10.0.11.0/24 different route, can't summarize</v>
      </c>
      <c r="J7" s="77"/>
      <c r="K7" s="77"/>
    </row>
    <row r="8" spans="1:11" x14ac:dyDescent="0.2">
      <c r="A8" s="75" t="s">
        <v>917</v>
      </c>
      <c r="B8" s="79" t="str">
        <v>192.168.1.9</v>
      </c>
      <c r="D8" s="75" t="s">
        <v>907</v>
      </c>
      <c r="E8" s="79" t="str">
        <v>192.168.2.0 255.255.255.0</v>
      </c>
      <c r="G8" s="75" t="s">
        <v>950</v>
      </c>
      <c r="H8" s="79">
        <v>0</v>
      </c>
      <c r="J8" s="77"/>
      <c r="K8" s="77"/>
    </row>
    <row r="9" spans="1:11" x14ac:dyDescent="0.2">
      <c r="A9" s="75" t="s">
        <v>918</v>
      </c>
      <c r="B9" s="79" t="str">
        <v>192.168.1.10</v>
      </c>
      <c r="D9" s="74"/>
      <c r="E9" s="79">
        <v>0</v>
      </c>
      <c r="G9" s="75" t="s">
        <v>951</v>
      </c>
      <c r="H9" s="79">
        <v>0</v>
      </c>
      <c r="J9" s="77"/>
      <c r="K9" s="77"/>
    </row>
    <row r="10" spans="1:11" x14ac:dyDescent="0.2">
      <c r="A10" s="75" t="s">
        <v>919</v>
      </c>
      <c r="B10" s="79" t="str">
        <v>192.168.1.11</v>
      </c>
      <c r="D10" s="75"/>
      <c r="E10" s="79">
        <v>0</v>
      </c>
      <c r="G10" s="75" t="s">
        <v>952</v>
      </c>
      <c r="H10" s="79">
        <v>0</v>
      </c>
      <c r="J10" s="77"/>
      <c r="K10" s="77"/>
    </row>
    <row r="11" spans="1:11" x14ac:dyDescent="0.2">
      <c r="A11" s="75" t="s">
        <v>920</v>
      </c>
      <c r="B11" s="79" t="str">
        <v>192.168.1.77</v>
      </c>
      <c r="D11" s="75"/>
      <c r="E11" s="79">
        <v>0</v>
      </c>
      <c r="G11" s="75"/>
      <c r="H11" s="79">
        <v>0</v>
      </c>
      <c r="J11" s="77"/>
      <c r="K11" s="77"/>
    </row>
    <row r="12" spans="1:11" x14ac:dyDescent="0.2">
      <c r="A12" s="75" t="s">
        <v>921</v>
      </c>
      <c r="B12" s="79" t="str">
        <v>192.168.100.5</v>
      </c>
      <c r="D12" s="75"/>
      <c r="E12" s="79">
        <v>0</v>
      </c>
      <c r="G12" s="75"/>
      <c r="H12" s="79">
        <v>0</v>
      </c>
      <c r="J12" s="77"/>
      <c r="K12" s="77"/>
    </row>
    <row r="13" spans="1:11" x14ac:dyDescent="0.2">
      <c r="A13" s="75"/>
      <c r="B13" s="79">
        <v>0</v>
      </c>
      <c r="D13" s="75"/>
      <c r="E13" s="79">
        <v>0</v>
      </c>
      <c r="G13" s="75"/>
      <c r="H13" s="79">
        <v>0</v>
      </c>
      <c r="J13" s="77"/>
      <c r="K13" s="77"/>
    </row>
    <row r="14" spans="1:11" x14ac:dyDescent="0.2">
      <c r="A14" s="75"/>
      <c r="B14" s="79">
        <v>0</v>
      </c>
      <c r="D14" s="75"/>
      <c r="E14" s="79">
        <v>0</v>
      </c>
      <c r="G14" s="75"/>
      <c r="H14" s="79">
        <v>0</v>
      </c>
      <c r="J14" s="77"/>
      <c r="K14" s="77"/>
    </row>
    <row r="15" spans="1:11" x14ac:dyDescent="0.2">
      <c r="A15" s="75"/>
      <c r="B15" s="79">
        <v>0</v>
      </c>
      <c r="D15" s="75"/>
      <c r="E15" s="79">
        <v>0</v>
      </c>
      <c r="G15" s="75"/>
      <c r="H15" s="79">
        <v>0</v>
      </c>
      <c r="J15" s="77"/>
      <c r="K15" s="77"/>
    </row>
    <row r="16" spans="1:11" x14ac:dyDescent="0.2">
      <c r="A16" s="75"/>
      <c r="B16" s="79">
        <v>0</v>
      </c>
      <c r="D16" s="75"/>
      <c r="E16" s="79">
        <v>0</v>
      </c>
      <c r="G16" s="75"/>
      <c r="H16" s="79">
        <v>0</v>
      </c>
      <c r="J16" s="77"/>
      <c r="K16" s="77"/>
    </row>
    <row r="17" spans="1:11" x14ac:dyDescent="0.2">
      <c r="A17" s="75"/>
      <c r="B17" s="79">
        <v>0</v>
      </c>
      <c r="D17" s="75"/>
      <c r="E17" s="79">
        <v>0</v>
      </c>
      <c r="G17" s="75"/>
      <c r="H17" s="79">
        <v>0</v>
      </c>
      <c r="J17" s="77"/>
      <c r="K17" s="77"/>
    </row>
    <row r="18" spans="1:11" x14ac:dyDescent="0.2">
      <c r="A18" s="75"/>
      <c r="B18" s="79">
        <v>0</v>
      </c>
      <c r="D18" s="75"/>
      <c r="E18" s="79">
        <v>0</v>
      </c>
      <c r="G18" s="75"/>
      <c r="H18" s="79">
        <v>0</v>
      </c>
      <c r="J18" s="77"/>
      <c r="K18" s="77"/>
    </row>
    <row r="19" spans="1:11" x14ac:dyDescent="0.2">
      <c r="A19" s="75"/>
      <c r="B19" s="79">
        <v>0</v>
      </c>
      <c r="D19" s="75"/>
      <c r="E19" s="79">
        <v>0</v>
      </c>
      <c r="G19" s="75"/>
      <c r="H19" s="79">
        <v>0</v>
      </c>
      <c r="J19" s="77"/>
      <c r="K19" s="77"/>
    </row>
    <row r="20" spans="1:11" x14ac:dyDescent="0.2">
      <c r="A20" s="75"/>
      <c r="B20" s="79">
        <v>0</v>
      </c>
      <c r="D20" s="75"/>
      <c r="E20" s="79">
        <v>0</v>
      </c>
      <c r="G20" s="75"/>
      <c r="H20" s="79">
        <v>0</v>
      </c>
      <c r="J20" s="77"/>
      <c r="K20" s="77"/>
    </row>
    <row r="21" spans="1:11" x14ac:dyDescent="0.2">
      <c r="A21" s="75"/>
      <c r="B21" s="79">
        <v>0</v>
      </c>
      <c r="D21" s="75"/>
      <c r="E21" s="79">
        <v>0</v>
      </c>
      <c r="G21" s="75"/>
      <c r="H21" s="79">
        <v>0</v>
      </c>
      <c r="J21" s="77"/>
      <c r="K21" s="77"/>
    </row>
    <row r="22" spans="1:11" x14ac:dyDescent="0.2">
      <c r="A22" s="75"/>
      <c r="B22" s="79">
        <v>0</v>
      </c>
      <c r="D22" s="75"/>
      <c r="E22" s="79">
        <v>0</v>
      </c>
      <c r="G22" s="75"/>
      <c r="H22" s="79">
        <v>0</v>
      </c>
      <c r="J22" s="77"/>
      <c r="K22" s="77"/>
    </row>
    <row r="23" spans="1:11" x14ac:dyDescent="0.2">
      <c r="A23" s="75"/>
      <c r="B23" s="79">
        <v>0</v>
      </c>
      <c r="D23" s="75"/>
      <c r="E23" s="79">
        <v>0</v>
      </c>
      <c r="G23" s="75"/>
      <c r="H23" s="79">
        <v>0</v>
      </c>
      <c r="J23" s="77"/>
      <c r="K23" s="77"/>
    </row>
    <row r="24" spans="1:11" x14ac:dyDescent="0.2">
      <c r="A24" s="75"/>
      <c r="B24" s="79">
        <v>0</v>
      </c>
      <c r="D24" s="75"/>
      <c r="E24" s="79">
        <v>0</v>
      </c>
      <c r="G24" s="75"/>
      <c r="H24" s="79">
        <v>0</v>
      </c>
      <c r="J24" s="77"/>
      <c r="K24" s="77"/>
    </row>
    <row r="25" spans="1:11" x14ac:dyDescent="0.2">
      <c r="A25" s="74"/>
      <c r="B25" s="79">
        <v>0</v>
      </c>
      <c r="D25" s="75"/>
      <c r="E25" s="79">
        <v>0</v>
      </c>
      <c r="G25" s="75"/>
      <c r="H25" s="79">
        <v>0</v>
      </c>
    </row>
    <row r="26" spans="1:11" x14ac:dyDescent="0.2">
      <c r="A26" s="74"/>
      <c r="B26" s="79">
        <v>0</v>
      </c>
      <c r="D26" s="75"/>
      <c r="E26" s="79">
        <v>0</v>
      </c>
      <c r="G26" s="75"/>
      <c r="H26" s="79">
        <v>0</v>
      </c>
    </row>
    <row r="27" spans="1:11" x14ac:dyDescent="0.2">
      <c r="A27" s="74"/>
      <c r="B27" s="79">
        <v>0</v>
      </c>
      <c r="D27" s="75"/>
      <c r="E27" s="79">
        <v>0</v>
      </c>
      <c r="G27" s="75"/>
      <c r="H27" s="79">
        <v>0</v>
      </c>
    </row>
    <row r="28" spans="1:11" x14ac:dyDescent="0.2">
      <c r="A28" s="74"/>
      <c r="B28" s="79">
        <v>0</v>
      </c>
      <c r="D28" s="75"/>
      <c r="E28" s="79">
        <v>0</v>
      </c>
      <c r="G28" s="75"/>
      <c r="H28" s="79">
        <v>0</v>
      </c>
    </row>
    <row r="29" spans="1:11" x14ac:dyDescent="0.2">
      <c r="A29" s="74"/>
      <c r="B29" s="79">
        <v>0</v>
      </c>
      <c r="D29" s="75"/>
      <c r="E29" s="79">
        <v>0</v>
      </c>
      <c r="G29" s="75"/>
      <c r="H29" s="79">
        <v>0</v>
      </c>
    </row>
    <row r="30" spans="1:11" x14ac:dyDescent="0.2">
      <c r="A30" s="74"/>
      <c r="B30" s="79">
        <v>0</v>
      </c>
      <c r="D30" s="75"/>
      <c r="E30" s="79">
        <v>0</v>
      </c>
      <c r="G30" s="75"/>
      <c r="H30" s="79">
        <v>0</v>
      </c>
    </row>
    <row r="31" spans="1:11" x14ac:dyDescent="0.2">
      <c r="A31" s="74"/>
      <c r="B31" s="79">
        <v>0</v>
      </c>
      <c r="D31" s="75"/>
      <c r="E31" s="79">
        <v>0</v>
      </c>
      <c r="G31" s="75"/>
      <c r="H31" s="79">
        <v>0</v>
      </c>
    </row>
    <row r="32" spans="1:11" x14ac:dyDescent="0.2">
      <c r="A32" s="74"/>
      <c r="B32" s="79">
        <v>0</v>
      </c>
      <c r="D32" s="75"/>
      <c r="E32" s="79">
        <v>0</v>
      </c>
      <c r="G32" s="75"/>
      <c r="H32" s="79">
        <v>0</v>
      </c>
    </row>
    <row r="33" spans="1:8" x14ac:dyDescent="0.2">
      <c r="A33" s="74"/>
      <c r="B33" s="79">
        <v>0</v>
      </c>
      <c r="D33" s="75"/>
      <c r="E33" s="79">
        <v>0</v>
      </c>
      <c r="G33" s="75"/>
      <c r="H33" s="79">
        <v>0</v>
      </c>
    </row>
    <row r="34" spans="1:8" x14ac:dyDescent="0.2">
      <c r="A34" s="74"/>
      <c r="B34" s="79">
        <v>0</v>
      </c>
      <c r="D34" s="75"/>
      <c r="E34" s="79">
        <v>0</v>
      </c>
      <c r="G34" s="75"/>
      <c r="H34" s="79">
        <v>0</v>
      </c>
    </row>
    <row r="35" spans="1:8" x14ac:dyDescent="0.2">
      <c r="A35" s="74"/>
      <c r="B35" s="79">
        <v>0</v>
      </c>
      <c r="D35" s="75"/>
      <c r="E35" s="79">
        <v>0</v>
      </c>
      <c r="G35" s="75"/>
      <c r="H35" s="79">
        <v>0</v>
      </c>
    </row>
    <row r="36" spans="1:8" x14ac:dyDescent="0.2">
      <c r="A36" s="74"/>
      <c r="B36" s="79">
        <v>0</v>
      </c>
      <c r="D36" s="75"/>
      <c r="E36" s="79">
        <v>0</v>
      </c>
      <c r="G36" s="75"/>
      <c r="H36" s="79">
        <v>0</v>
      </c>
    </row>
    <row r="37" spans="1:8" x14ac:dyDescent="0.2">
      <c r="A37" s="74"/>
      <c r="B37" s="79">
        <v>0</v>
      </c>
      <c r="D37" s="75"/>
      <c r="E37" s="79">
        <v>0</v>
      </c>
      <c r="G37" s="75"/>
      <c r="H37" s="79">
        <v>0</v>
      </c>
    </row>
    <row r="38" spans="1:8" x14ac:dyDescent="0.2">
      <c r="A38" s="74"/>
      <c r="B38" s="79">
        <v>0</v>
      </c>
      <c r="D38" s="75"/>
      <c r="E38" s="79">
        <v>0</v>
      </c>
      <c r="G38" s="75"/>
      <c r="H38" s="79">
        <v>0</v>
      </c>
    </row>
    <row r="39" spans="1:8" x14ac:dyDescent="0.2">
      <c r="A39" s="74"/>
      <c r="B39" s="79">
        <v>0</v>
      </c>
      <c r="D39" s="75"/>
      <c r="E39" s="79">
        <v>0</v>
      </c>
      <c r="G39" s="75"/>
      <c r="H39" s="79">
        <v>0</v>
      </c>
    </row>
    <row r="40" spans="1:8" x14ac:dyDescent="0.2">
      <c r="A40" s="74"/>
      <c r="B40" s="79">
        <v>0</v>
      </c>
      <c r="D40" s="75"/>
      <c r="E40" s="79">
        <v>0</v>
      </c>
      <c r="G40" s="75"/>
      <c r="H40" s="79">
        <v>0</v>
      </c>
    </row>
    <row r="41" spans="1:8" x14ac:dyDescent="0.2">
      <c r="A41" s="74"/>
      <c r="B41" s="79">
        <v>0</v>
      </c>
      <c r="D41" s="75"/>
      <c r="E41" s="79">
        <v>0</v>
      </c>
      <c r="G41" s="75"/>
      <c r="H41" s="79">
        <v>0</v>
      </c>
    </row>
    <row r="42" spans="1:8" x14ac:dyDescent="0.2">
      <c r="A42" s="74"/>
      <c r="B42" s="79">
        <v>0</v>
      </c>
      <c r="D42" s="75"/>
      <c r="E42" s="79">
        <v>0</v>
      </c>
      <c r="G42" s="75"/>
      <c r="H42" s="79">
        <v>0</v>
      </c>
    </row>
    <row r="43" spans="1:8" x14ac:dyDescent="0.2">
      <c r="A43" s="74"/>
      <c r="B43" s="79">
        <v>0</v>
      </c>
      <c r="D43" s="75"/>
      <c r="E43" s="79">
        <v>0</v>
      </c>
      <c r="G43" s="75"/>
      <c r="H43" s="79">
        <v>0</v>
      </c>
    </row>
    <row r="44" spans="1:8" x14ac:dyDescent="0.2">
      <c r="A44" s="74"/>
      <c r="B44" s="79">
        <v>0</v>
      </c>
      <c r="D44" s="75"/>
      <c r="E44" s="79">
        <v>0</v>
      </c>
      <c r="G44" s="75"/>
      <c r="H44" s="79">
        <v>0</v>
      </c>
    </row>
    <row r="45" spans="1:8" x14ac:dyDescent="0.2">
      <c r="A45" s="74"/>
      <c r="B45" s="79">
        <v>0</v>
      </c>
      <c r="D45" s="75"/>
      <c r="E45" s="79">
        <v>0</v>
      </c>
      <c r="G45" s="75"/>
      <c r="H45" s="79">
        <v>0</v>
      </c>
    </row>
    <row r="46" spans="1:8" x14ac:dyDescent="0.2">
      <c r="A46" s="74"/>
      <c r="B46" s="79">
        <v>0</v>
      </c>
      <c r="D46" s="75"/>
      <c r="E46" s="79">
        <v>0</v>
      </c>
      <c r="G46" s="75"/>
      <c r="H46" s="79">
        <v>0</v>
      </c>
    </row>
    <row r="47" spans="1:8" x14ac:dyDescent="0.2">
      <c r="A47" s="75"/>
      <c r="B47" s="79">
        <v>0</v>
      </c>
      <c r="D47" s="75"/>
      <c r="E47" s="79">
        <v>0</v>
      </c>
      <c r="G47" s="75"/>
      <c r="H47" s="79">
        <v>0</v>
      </c>
    </row>
    <row r="48" spans="1:8" x14ac:dyDescent="0.2">
      <c r="A48" s="75"/>
      <c r="B48" s="79">
        <v>0</v>
      </c>
      <c r="D48" s="75"/>
      <c r="E48" s="79">
        <v>0</v>
      </c>
      <c r="G48" s="75"/>
      <c r="H48" s="79">
        <v>0</v>
      </c>
    </row>
    <row r="49" spans="1:8" x14ac:dyDescent="0.2">
      <c r="A49" s="75"/>
      <c r="B49" s="79">
        <v>0</v>
      </c>
      <c r="D49" s="75"/>
      <c r="E49" s="79">
        <v>0</v>
      </c>
      <c r="G49" s="75"/>
      <c r="H49" s="79">
        <v>0</v>
      </c>
    </row>
    <row r="50" spans="1:8" x14ac:dyDescent="0.2">
      <c r="A50" s="75"/>
      <c r="B50" s="79">
        <v>0</v>
      </c>
      <c r="D50" s="75"/>
      <c r="E50" s="79">
        <v>0</v>
      </c>
      <c r="G50" s="75"/>
      <c r="H50" s="79">
        <v>0</v>
      </c>
    </row>
    <row r="51" spans="1:8" x14ac:dyDescent="0.2">
      <c r="A51" s="75"/>
      <c r="B51" s="79">
        <v>0</v>
      </c>
      <c r="D51" s="75"/>
      <c r="E51" s="79">
        <v>0</v>
      </c>
      <c r="G51" s="75"/>
      <c r="H51" s="79">
        <v>0</v>
      </c>
    </row>
    <row r="52" spans="1:8" x14ac:dyDescent="0.2">
      <c r="A52" s="75"/>
      <c r="B52" s="79">
        <v>0</v>
      </c>
      <c r="D52" s="75"/>
      <c r="E52" s="79">
        <v>0</v>
      </c>
      <c r="G52" s="75"/>
      <c r="H52" s="79">
        <v>0</v>
      </c>
    </row>
    <row r="53" spans="1:8" x14ac:dyDescent="0.2">
      <c r="A53" s="75"/>
      <c r="B53" s="79">
        <v>0</v>
      </c>
      <c r="D53" s="75"/>
      <c r="E53" s="79">
        <v>0</v>
      </c>
      <c r="G53" s="75"/>
      <c r="H53" s="79">
        <v>0</v>
      </c>
    </row>
    <row r="54" spans="1:8" x14ac:dyDescent="0.2">
      <c r="A54" s="75"/>
      <c r="B54" s="79">
        <v>0</v>
      </c>
      <c r="D54" s="75"/>
      <c r="E54" s="79">
        <v>0</v>
      </c>
      <c r="G54" s="75"/>
      <c r="H54" s="79">
        <v>0</v>
      </c>
    </row>
    <row r="55" spans="1:8" x14ac:dyDescent="0.2">
      <c r="A55" s="75"/>
      <c r="B55" s="79">
        <v>0</v>
      </c>
      <c r="D55" s="75"/>
      <c r="E55" s="79">
        <v>0</v>
      </c>
      <c r="G55" s="75"/>
      <c r="H55" s="79">
        <v>0</v>
      </c>
    </row>
    <row r="56" spans="1:8" x14ac:dyDescent="0.2">
      <c r="A56" s="75"/>
      <c r="B56" s="79">
        <v>0</v>
      </c>
      <c r="D56" s="75"/>
      <c r="E56" s="79">
        <v>0</v>
      </c>
      <c r="G56" s="75"/>
      <c r="H56" s="79">
        <v>0</v>
      </c>
    </row>
    <row r="57" spans="1:8" x14ac:dyDescent="0.2">
      <c r="A57" s="75"/>
      <c r="B57" s="79">
        <v>0</v>
      </c>
      <c r="D57" s="75"/>
      <c r="E57" s="79">
        <v>0</v>
      </c>
      <c r="G57" s="75"/>
      <c r="H57" s="79">
        <v>0</v>
      </c>
    </row>
    <row r="58" spans="1:8" x14ac:dyDescent="0.2">
      <c r="A58" s="75"/>
      <c r="B58" s="79">
        <v>0</v>
      </c>
      <c r="D58" s="75"/>
      <c r="E58" s="79">
        <v>0</v>
      </c>
      <c r="G58" s="75"/>
      <c r="H58" s="79">
        <v>0</v>
      </c>
    </row>
    <row r="59" spans="1:8" x14ac:dyDescent="0.2">
      <c r="A59" s="75"/>
      <c r="B59" s="79">
        <v>0</v>
      </c>
      <c r="D59" s="75"/>
      <c r="E59" s="79">
        <v>0</v>
      </c>
      <c r="G59" s="75"/>
      <c r="H59" s="79">
        <v>0</v>
      </c>
    </row>
    <row r="60" spans="1:8" x14ac:dyDescent="0.2">
      <c r="A60" s="75"/>
      <c r="B60" s="79">
        <v>0</v>
      </c>
      <c r="D60" s="75"/>
      <c r="E60" s="79">
        <v>0</v>
      </c>
      <c r="G60" s="75"/>
      <c r="H60" s="79">
        <v>0</v>
      </c>
    </row>
    <row r="61" spans="1:8" x14ac:dyDescent="0.2">
      <c r="A61" s="75"/>
      <c r="B61" s="79">
        <v>0</v>
      </c>
      <c r="D61" s="75"/>
      <c r="E61" s="79">
        <v>0</v>
      </c>
      <c r="G61" s="75"/>
      <c r="H61" s="79">
        <v>0</v>
      </c>
    </row>
    <row r="62" spans="1:8" x14ac:dyDescent="0.2">
      <c r="A62" s="75"/>
      <c r="B62" s="79">
        <v>0</v>
      </c>
      <c r="D62" s="75"/>
      <c r="E62" s="79">
        <v>0</v>
      </c>
      <c r="G62" s="75"/>
      <c r="H62" s="79">
        <v>0</v>
      </c>
    </row>
    <row r="63" spans="1:8" x14ac:dyDescent="0.2">
      <c r="A63" s="75"/>
      <c r="B63" s="79">
        <v>0</v>
      </c>
      <c r="D63" s="75"/>
      <c r="E63" s="79">
        <v>0</v>
      </c>
      <c r="G63" s="75"/>
      <c r="H63" s="79">
        <v>0</v>
      </c>
    </row>
    <row r="64" spans="1:8" x14ac:dyDescent="0.2">
      <c r="A64" s="75"/>
      <c r="B64" s="79">
        <v>0</v>
      </c>
      <c r="D64" s="75"/>
      <c r="E64" s="79">
        <v>0</v>
      </c>
      <c r="G64" s="75"/>
      <c r="H64" s="79">
        <v>0</v>
      </c>
    </row>
    <row r="65" spans="1:8" x14ac:dyDescent="0.2">
      <c r="A65" s="75"/>
      <c r="B65" s="79">
        <v>0</v>
      </c>
      <c r="D65" s="75"/>
      <c r="E65" s="79">
        <v>0</v>
      </c>
      <c r="G65" s="75"/>
      <c r="H65" s="79">
        <v>0</v>
      </c>
    </row>
    <row r="66" spans="1:8" x14ac:dyDescent="0.2">
      <c r="A66" s="75"/>
      <c r="B66" s="79">
        <v>0</v>
      </c>
      <c r="D66" s="75"/>
      <c r="E66" s="79">
        <v>0</v>
      </c>
      <c r="G66" s="75"/>
      <c r="H66" s="79">
        <v>0</v>
      </c>
    </row>
    <row r="67" spans="1:8" x14ac:dyDescent="0.2">
      <c r="A67" s="75"/>
      <c r="B67" s="79">
        <v>0</v>
      </c>
      <c r="D67" s="75"/>
      <c r="E67" s="79">
        <v>0</v>
      </c>
      <c r="G67" s="75"/>
      <c r="H67" s="79">
        <v>0</v>
      </c>
    </row>
    <row r="68" spans="1:8" x14ac:dyDescent="0.2">
      <c r="A68" s="75"/>
      <c r="B68" s="79">
        <v>0</v>
      </c>
      <c r="D68" s="75"/>
      <c r="E68" s="79">
        <v>0</v>
      </c>
      <c r="G68" s="75"/>
      <c r="H68" s="79">
        <v>0</v>
      </c>
    </row>
    <row r="69" spans="1:8" x14ac:dyDescent="0.2">
      <c r="A69" s="75"/>
      <c r="B69" s="79">
        <v>0</v>
      </c>
      <c r="D69" s="75"/>
      <c r="E69" s="79">
        <v>0</v>
      </c>
      <c r="G69" s="75"/>
      <c r="H69" s="79">
        <v>0</v>
      </c>
    </row>
    <row r="70" spans="1:8" x14ac:dyDescent="0.2">
      <c r="A70" s="75"/>
      <c r="B70" s="79">
        <v>0</v>
      </c>
      <c r="D70" s="75"/>
      <c r="E70" s="79">
        <v>0</v>
      </c>
      <c r="G70" s="75"/>
      <c r="H70" s="79">
        <v>0</v>
      </c>
    </row>
    <row r="71" spans="1:8" x14ac:dyDescent="0.2">
      <c r="A71" s="75"/>
      <c r="B71" s="79">
        <v>0</v>
      </c>
      <c r="D71" s="75"/>
      <c r="E71" s="79">
        <v>0</v>
      </c>
      <c r="G71" s="75"/>
      <c r="H71" s="79">
        <v>0</v>
      </c>
    </row>
    <row r="72" spans="1:8" x14ac:dyDescent="0.2">
      <c r="A72" s="75"/>
      <c r="B72" s="79">
        <v>0</v>
      </c>
      <c r="D72" s="75"/>
      <c r="E72" s="79">
        <v>0</v>
      </c>
      <c r="G72" s="75"/>
      <c r="H72" s="79">
        <v>0</v>
      </c>
    </row>
    <row r="73" spans="1:8" x14ac:dyDescent="0.2">
      <c r="A73" s="75"/>
      <c r="B73" s="79">
        <v>0</v>
      </c>
      <c r="D73" s="75"/>
      <c r="E73" s="79">
        <v>0</v>
      </c>
      <c r="G73" s="75"/>
      <c r="H73" s="79">
        <v>0</v>
      </c>
    </row>
    <row r="74" spans="1:8" x14ac:dyDescent="0.2">
      <c r="A74" s="75"/>
      <c r="B74" s="79">
        <v>0</v>
      </c>
      <c r="D74" s="75"/>
      <c r="E74" s="79">
        <v>0</v>
      </c>
      <c r="G74" s="75"/>
      <c r="H74" s="79">
        <v>0</v>
      </c>
    </row>
    <row r="75" spans="1:8" x14ac:dyDescent="0.2">
      <c r="A75" s="75"/>
      <c r="B75" s="79">
        <v>0</v>
      </c>
      <c r="D75" s="75"/>
      <c r="E75" s="79">
        <v>0</v>
      </c>
      <c r="G75" s="75"/>
      <c r="H75" s="79">
        <v>0</v>
      </c>
    </row>
    <row r="76" spans="1:8" x14ac:dyDescent="0.2">
      <c r="A76" s="75"/>
      <c r="B76" s="79">
        <v>0</v>
      </c>
      <c r="D76" s="75"/>
      <c r="E76" s="79">
        <v>0</v>
      </c>
      <c r="G76" s="75"/>
      <c r="H76" s="79">
        <v>0</v>
      </c>
    </row>
    <row r="77" spans="1:8" x14ac:dyDescent="0.2">
      <c r="A77" s="75"/>
      <c r="B77" s="79">
        <v>0</v>
      </c>
      <c r="D77" s="75"/>
      <c r="E77" s="79">
        <v>0</v>
      </c>
      <c r="G77" s="75"/>
      <c r="H77" s="79">
        <v>0</v>
      </c>
    </row>
    <row r="78" spans="1:8" x14ac:dyDescent="0.2">
      <c r="A78" s="75"/>
      <c r="B78" s="79">
        <v>0</v>
      </c>
      <c r="D78" s="75"/>
      <c r="E78" s="79">
        <v>0</v>
      </c>
      <c r="G78" s="75"/>
      <c r="H78" s="79">
        <v>0</v>
      </c>
    </row>
    <row r="79" spans="1:8" x14ac:dyDescent="0.2">
      <c r="A79" s="75"/>
      <c r="B79" s="79">
        <v>0</v>
      </c>
      <c r="D79" s="75"/>
      <c r="E79" s="79">
        <v>0</v>
      </c>
      <c r="G79" s="75"/>
      <c r="H79" s="79">
        <v>0</v>
      </c>
    </row>
    <row r="80" spans="1:8" x14ac:dyDescent="0.2">
      <c r="A80" s="75"/>
      <c r="B80" s="79">
        <v>0</v>
      </c>
      <c r="D80" s="75"/>
      <c r="E80" s="79">
        <v>0</v>
      </c>
      <c r="G80" s="75"/>
      <c r="H80" s="79">
        <v>0</v>
      </c>
    </row>
    <row r="81" spans="1:8" x14ac:dyDescent="0.2">
      <c r="A81" s="75"/>
      <c r="B81" s="79">
        <v>0</v>
      </c>
      <c r="D81" s="75"/>
      <c r="E81" s="79">
        <v>0</v>
      </c>
      <c r="G81" s="75"/>
      <c r="H81" s="79">
        <v>0</v>
      </c>
    </row>
    <row r="82" spans="1:8" x14ac:dyDescent="0.2">
      <c r="A82" s="75"/>
      <c r="B82" s="79">
        <v>0</v>
      </c>
      <c r="D82" s="75"/>
      <c r="E82" s="79">
        <v>0</v>
      </c>
      <c r="G82" s="75"/>
      <c r="H82" s="79">
        <v>0</v>
      </c>
    </row>
    <row r="83" spans="1:8" x14ac:dyDescent="0.2">
      <c r="A83" s="75"/>
      <c r="B83" s="79">
        <v>0</v>
      </c>
      <c r="D83" s="75"/>
      <c r="E83" s="79">
        <v>0</v>
      </c>
      <c r="G83" s="75"/>
      <c r="H83" s="79">
        <v>0</v>
      </c>
    </row>
    <row r="84" spans="1:8" x14ac:dyDescent="0.2">
      <c r="A84" s="75"/>
      <c r="B84" s="79">
        <v>0</v>
      </c>
      <c r="D84" s="75"/>
      <c r="E84" s="79">
        <v>0</v>
      </c>
      <c r="G84" s="75"/>
      <c r="H84" s="79">
        <v>0</v>
      </c>
    </row>
    <row r="85" spans="1:8" x14ac:dyDescent="0.2">
      <c r="A85" s="75"/>
      <c r="B85" s="79">
        <v>0</v>
      </c>
      <c r="D85" s="75"/>
      <c r="E85" s="79">
        <v>0</v>
      </c>
      <c r="G85" s="75"/>
      <c r="H85" s="79">
        <v>0</v>
      </c>
    </row>
    <row r="86" spans="1:8" x14ac:dyDescent="0.2">
      <c r="A86" s="75"/>
      <c r="B86" s="79">
        <v>0</v>
      </c>
      <c r="D86" s="75"/>
      <c r="E86" s="79">
        <v>0</v>
      </c>
      <c r="G86" s="75"/>
      <c r="H86" s="79">
        <v>0</v>
      </c>
    </row>
    <row r="87" spans="1:8" x14ac:dyDescent="0.2">
      <c r="A87" s="75"/>
      <c r="B87" s="79">
        <v>0</v>
      </c>
      <c r="D87" s="75"/>
      <c r="E87" s="79">
        <v>0</v>
      </c>
      <c r="G87" s="75"/>
      <c r="H87" s="79">
        <v>0</v>
      </c>
    </row>
    <row r="88" spans="1:8" x14ac:dyDescent="0.2">
      <c r="A88" s="75"/>
      <c r="B88" s="79">
        <v>0</v>
      </c>
      <c r="D88" s="75"/>
      <c r="E88" s="79">
        <v>0</v>
      </c>
      <c r="G88" s="75"/>
      <c r="H88" s="79">
        <v>0</v>
      </c>
    </row>
    <row r="89" spans="1:8" x14ac:dyDescent="0.2">
      <c r="A89" s="75"/>
      <c r="B89" s="79">
        <v>0</v>
      </c>
      <c r="D89" s="75"/>
      <c r="E89" s="79">
        <v>0</v>
      </c>
      <c r="G89" s="75"/>
      <c r="H89" s="79">
        <v>0</v>
      </c>
    </row>
    <row r="90" spans="1:8" x14ac:dyDescent="0.2">
      <c r="A90" s="75"/>
      <c r="B90" s="79">
        <v>0</v>
      </c>
      <c r="D90" s="75"/>
      <c r="E90" s="79">
        <v>0</v>
      </c>
      <c r="G90" s="75"/>
      <c r="H90" s="79">
        <v>0</v>
      </c>
    </row>
    <row r="91" spans="1:8" x14ac:dyDescent="0.2">
      <c r="A91" s="75"/>
      <c r="B91" s="79">
        <v>0</v>
      </c>
      <c r="D91" s="75"/>
      <c r="E91" s="79">
        <v>0</v>
      </c>
      <c r="G91" s="75"/>
      <c r="H91" s="79">
        <v>0</v>
      </c>
    </row>
    <row r="92" spans="1:8" x14ac:dyDescent="0.2">
      <c r="A92" s="75"/>
      <c r="B92" s="79">
        <v>0</v>
      </c>
      <c r="D92" s="75"/>
      <c r="E92" s="79">
        <v>0</v>
      </c>
      <c r="G92" s="75"/>
      <c r="H92" s="79">
        <v>0</v>
      </c>
    </row>
    <row r="93" spans="1:8" x14ac:dyDescent="0.2">
      <c r="A93" s="75"/>
      <c r="B93" s="79">
        <v>0</v>
      </c>
      <c r="D93" s="75"/>
      <c r="E93" s="79">
        <v>0</v>
      </c>
      <c r="G93" s="75"/>
      <c r="H93" s="79">
        <v>0</v>
      </c>
    </row>
    <row r="94" spans="1:8" x14ac:dyDescent="0.2">
      <c r="A94" s="75"/>
      <c r="B94" s="79">
        <v>0</v>
      </c>
      <c r="D94" s="75"/>
      <c r="E94" s="79">
        <v>0</v>
      </c>
      <c r="G94" s="75"/>
      <c r="H94" s="79">
        <v>0</v>
      </c>
    </row>
    <row r="95" spans="1:8" x14ac:dyDescent="0.2">
      <c r="A95" s="75"/>
      <c r="B95" s="79">
        <v>0</v>
      </c>
      <c r="D95" s="75"/>
      <c r="E95" s="79">
        <v>0</v>
      </c>
      <c r="G95" s="75"/>
      <c r="H95" s="79">
        <v>0</v>
      </c>
    </row>
    <row r="96" spans="1:8" x14ac:dyDescent="0.2">
      <c r="A96" s="75"/>
      <c r="B96" s="79">
        <v>0</v>
      </c>
      <c r="D96" s="75"/>
      <c r="E96" s="79">
        <v>0</v>
      </c>
      <c r="G96" s="75"/>
      <c r="H96" s="79">
        <v>0</v>
      </c>
    </row>
    <row r="97" spans="1:8" x14ac:dyDescent="0.2">
      <c r="A97" s="75"/>
      <c r="B97" s="79">
        <v>0</v>
      </c>
      <c r="D97" s="75"/>
      <c r="E97" s="79">
        <v>0</v>
      </c>
      <c r="G97" s="75"/>
      <c r="H97" s="79">
        <v>0</v>
      </c>
    </row>
    <row r="98" spans="1:8" x14ac:dyDescent="0.2">
      <c r="A98" s="75"/>
      <c r="B98" s="79">
        <v>0</v>
      </c>
      <c r="D98" s="75"/>
      <c r="E98" s="79">
        <v>0</v>
      </c>
      <c r="G98" s="75"/>
      <c r="H98" s="79">
        <v>0</v>
      </c>
    </row>
    <row r="99" spans="1:8" x14ac:dyDescent="0.2">
      <c r="A99" s="75"/>
      <c r="B99" s="79">
        <v>0</v>
      </c>
      <c r="D99" s="75"/>
      <c r="E99" s="79">
        <v>0</v>
      </c>
      <c r="G99" s="75"/>
      <c r="H99" s="79">
        <v>0</v>
      </c>
    </row>
    <row r="100" spans="1:8" x14ac:dyDescent="0.2">
      <c r="A100" s="75"/>
      <c r="B100" s="79">
        <v>0</v>
      </c>
      <c r="D100" s="75"/>
      <c r="E100" s="79">
        <v>0</v>
      </c>
      <c r="G100" s="75"/>
      <c r="H100" s="79">
        <v>0</v>
      </c>
    </row>
    <row r="101" spans="1:8" x14ac:dyDescent="0.2">
      <c r="A101" s="75"/>
      <c r="B101" s="79">
        <v>0</v>
      </c>
      <c r="D101" s="75"/>
      <c r="E101" s="79">
        <v>0</v>
      </c>
      <c r="G101" s="75"/>
      <c r="H101" s="79">
        <v>0</v>
      </c>
    </row>
    <row r="102" spans="1:8" x14ac:dyDescent="0.2">
      <c r="A102" s="75"/>
      <c r="B102" s="79">
        <v>0</v>
      </c>
      <c r="D102" s="75"/>
      <c r="E102" s="79">
        <v>0</v>
      </c>
      <c r="G102" s="75"/>
      <c r="H102" s="79">
        <v>0</v>
      </c>
    </row>
    <row r="103" spans="1:8" x14ac:dyDescent="0.2">
      <c r="A103" s="75"/>
      <c r="B103" s="79">
        <v>0</v>
      </c>
      <c r="D103" s="75"/>
      <c r="E103" s="79">
        <v>0</v>
      </c>
      <c r="G103" s="75"/>
      <c r="H103" s="79">
        <v>0</v>
      </c>
    </row>
    <row r="104" spans="1:8" x14ac:dyDescent="0.2">
      <c r="A104" s="75"/>
      <c r="B104" s="79">
        <v>0</v>
      </c>
      <c r="D104" s="75"/>
      <c r="E104" s="79">
        <v>0</v>
      </c>
      <c r="G104" s="75"/>
      <c r="H104" s="79">
        <v>0</v>
      </c>
    </row>
    <row r="105" spans="1:8" x14ac:dyDescent="0.2">
      <c r="A105" s="75"/>
      <c r="B105" s="79">
        <v>0</v>
      </c>
      <c r="D105" s="75"/>
      <c r="E105" s="79">
        <v>0</v>
      </c>
      <c r="G105" s="75"/>
      <c r="H105" s="79">
        <v>0</v>
      </c>
    </row>
    <row r="106" spans="1:8" x14ac:dyDescent="0.2">
      <c r="A106" s="75"/>
      <c r="B106" s="79">
        <v>0</v>
      </c>
      <c r="D106" s="75"/>
      <c r="E106" s="79">
        <v>0</v>
      </c>
      <c r="G106" s="75"/>
      <c r="H106" s="79">
        <v>0</v>
      </c>
    </row>
    <row r="107" spans="1:8" x14ac:dyDescent="0.2">
      <c r="A107" s="75"/>
      <c r="B107" s="79">
        <v>0</v>
      </c>
      <c r="D107" s="75"/>
      <c r="E107" s="79">
        <v>0</v>
      </c>
      <c r="G107" s="75"/>
      <c r="H107" s="79">
        <v>0</v>
      </c>
    </row>
    <row r="108" spans="1:8" x14ac:dyDescent="0.2">
      <c r="A108" s="75"/>
      <c r="B108" s="79">
        <v>0</v>
      </c>
      <c r="D108" s="75"/>
      <c r="E108" s="79">
        <v>0</v>
      </c>
      <c r="G108" s="75"/>
      <c r="H108" s="79">
        <v>0</v>
      </c>
    </row>
    <row r="109" spans="1:8" x14ac:dyDescent="0.2">
      <c r="A109" s="75"/>
      <c r="B109" s="79">
        <v>0</v>
      </c>
      <c r="D109" s="75"/>
      <c r="E109" s="79">
        <v>0</v>
      </c>
      <c r="G109" s="75"/>
      <c r="H109" s="79">
        <v>0</v>
      </c>
    </row>
    <row r="110" spans="1:8" x14ac:dyDescent="0.2">
      <c r="A110" s="75"/>
      <c r="B110" s="79">
        <v>0</v>
      </c>
      <c r="D110" s="75"/>
      <c r="E110" s="79">
        <v>0</v>
      </c>
      <c r="G110" s="75"/>
      <c r="H110" s="79">
        <v>0</v>
      </c>
    </row>
    <row r="111" spans="1:8" x14ac:dyDescent="0.2">
      <c r="A111" s="75"/>
      <c r="B111" s="79">
        <v>0</v>
      </c>
      <c r="D111" s="75"/>
      <c r="E111" s="79">
        <v>0</v>
      </c>
      <c r="G111" s="75"/>
      <c r="H111" s="79">
        <v>0</v>
      </c>
    </row>
    <row r="112" spans="1:8" x14ac:dyDescent="0.2">
      <c r="A112" s="75"/>
      <c r="B112" s="79">
        <v>0</v>
      </c>
      <c r="D112" s="75"/>
      <c r="E112" s="79">
        <v>0</v>
      </c>
      <c r="G112" s="75"/>
      <c r="H112" s="79">
        <v>0</v>
      </c>
    </row>
    <row r="113" spans="1:8" x14ac:dyDescent="0.2">
      <c r="A113" s="75"/>
      <c r="B113" s="79">
        <v>0</v>
      </c>
      <c r="D113" s="75"/>
      <c r="E113" s="79">
        <v>0</v>
      </c>
      <c r="G113" s="75"/>
      <c r="H113" s="79">
        <v>0</v>
      </c>
    </row>
    <row r="114" spans="1:8" x14ac:dyDescent="0.2">
      <c r="A114" s="75"/>
      <c r="B114" s="79">
        <v>0</v>
      </c>
      <c r="D114" s="75"/>
      <c r="E114" s="79">
        <v>0</v>
      </c>
      <c r="G114" s="75"/>
      <c r="H114" s="79">
        <v>0</v>
      </c>
    </row>
    <row r="115" spans="1:8" x14ac:dyDescent="0.2">
      <c r="A115" s="75"/>
      <c r="B115" s="79">
        <v>0</v>
      </c>
      <c r="D115" s="75"/>
      <c r="E115" s="79">
        <v>0</v>
      </c>
      <c r="G115" s="75"/>
      <c r="H115" s="79">
        <v>0</v>
      </c>
    </row>
    <row r="116" spans="1:8" x14ac:dyDescent="0.2">
      <c r="A116" s="75"/>
      <c r="B116" s="79">
        <v>0</v>
      </c>
      <c r="D116" s="75"/>
      <c r="E116" s="79">
        <v>0</v>
      </c>
      <c r="G116" s="75"/>
      <c r="H116" s="79">
        <v>0</v>
      </c>
    </row>
    <row r="117" spans="1:8" x14ac:dyDescent="0.2">
      <c r="A117" s="75"/>
      <c r="B117" s="79">
        <v>0</v>
      </c>
      <c r="D117" s="75"/>
      <c r="E117" s="79">
        <v>0</v>
      </c>
      <c r="G117" s="75"/>
      <c r="H117" s="79">
        <v>0</v>
      </c>
    </row>
    <row r="118" spans="1:8" x14ac:dyDescent="0.2">
      <c r="A118" s="75"/>
      <c r="B118" s="79">
        <v>0</v>
      </c>
      <c r="D118" s="75"/>
      <c r="E118" s="79">
        <v>0</v>
      </c>
      <c r="G118" s="75"/>
      <c r="H118" s="79">
        <v>0</v>
      </c>
    </row>
    <row r="119" spans="1:8" x14ac:dyDescent="0.2">
      <c r="A119" s="75"/>
      <c r="B119" s="79">
        <v>0</v>
      </c>
      <c r="D119" s="75"/>
      <c r="E119" s="79">
        <v>0</v>
      </c>
      <c r="G119" s="75"/>
      <c r="H119" s="79">
        <v>0</v>
      </c>
    </row>
    <row r="120" spans="1:8" x14ac:dyDescent="0.2">
      <c r="A120" s="75"/>
      <c r="B120" s="79">
        <v>0</v>
      </c>
      <c r="D120" s="75"/>
      <c r="E120" s="79">
        <v>0</v>
      </c>
      <c r="G120" s="75"/>
      <c r="H120" s="79">
        <v>0</v>
      </c>
    </row>
    <row r="121" spans="1:8" x14ac:dyDescent="0.2">
      <c r="A121" s="75"/>
      <c r="B121" s="79">
        <v>0</v>
      </c>
      <c r="D121" s="75"/>
      <c r="E121" s="79">
        <v>0</v>
      </c>
      <c r="G121" s="75"/>
      <c r="H121" s="79">
        <v>0</v>
      </c>
    </row>
    <row r="122" spans="1:8" x14ac:dyDescent="0.2">
      <c r="A122" s="75"/>
      <c r="B122" s="79">
        <v>0</v>
      </c>
      <c r="D122" s="75"/>
      <c r="E122" s="79">
        <v>0</v>
      </c>
      <c r="G122" s="75"/>
      <c r="H122" s="79">
        <v>0</v>
      </c>
    </row>
    <row r="123" spans="1:8" x14ac:dyDescent="0.2">
      <c r="A123" s="75"/>
      <c r="B123" s="79">
        <v>0</v>
      </c>
      <c r="D123" s="75"/>
      <c r="E123" s="79">
        <v>0</v>
      </c>
      <c r="G123" s="75"/>
      <c r="H123" s="79">
        <v>0</v>
      </c>
    </row>
    <row r="124" spans="1:8" x14ac:dyDescent="0.2">
      <c r="A124" s="75"/>
      <c r="B124" s="79">
        <v>0</v>
      </c>
      <c r="D124" s="75"/>
      <c r="E124" s="79">
        <v>0</v>
      </c>
      <c r="G124" s="75"/>
      <c r="H124" s="79">
        <v>0</v>
      </c>
    </row>
    <row r="125" spans="1:8" x14ac:dyDescent="0.2">
      <c r="A125" s="75"/>
      <c r="B125" s="79">
        <v>0</v>
      </c>
      <c r="D125" s="75"/>
      <c r="E125" s="79">
        <v>0</v>
      </c>
      <c r="G125" s="75"/>
      <c r="H125" s="79">
        <v>0</v>
      </c>
    </row>
    <row r="126" spans="1:8" x14ac:dyDescent="0.2">
      <c r="A126" s="75"/>
      <c r="B126" s="79">
        <v>0</v>
      </c>
      <c r="D126" s="75"/>
      <c r="E126" s="79">
        <v>0</v>
      </c>
      <c r="G126" s="75"/>
      <c r="H126" s="79">
        <v>0</v>
      </c>
    </row>
    <row r="127" spans="1:8" x14ac:dyDescent="0.2">
      <c r="A127" s="75"/>
      <c r="B127" s="79">
        <v>0</v>
      </c>
      <c r="D127" s="75"/>
      <c r="E127" s="79">
        <v>0</v>
      </c>
      <c r="G127" s="75"/>
      <c r="H127" s="79">
        <v>0</v>
      </c>
    </row>
    <row r="128" spans="1:8" x14ac:dyDescent="0.2">
      <c r="A128" s="75"/>
      <c r="B128" s="79">
        <v>0</v>
      </c>
      <c r="D128" s="75"/>
      <c r="E128" s="79">
        <v>0</v>
      </c>
      <c r="G128" s="75"/>
      <c r="H128" s="79">
        <v>0</v>
      </c>
    </row>
    <row r="129" spans="1:8" x14ac:dyDescent="0.2">
      <c r="A129" s="75"/>
      <c r="B129" s="79">
        <v>0</v>
      </c>
      <c r="D129" s="75"/>
      <c r="E129" s="79">
        <v>0</v>
      </c>
      <c r="G129" s="75"/>
      <c r="H129" s="79">
        <v>0</v>
      </c>
    </row>
    <row r="130" spans="1:8" x14ac:dyDescent="0.2">
      <c r="A130" s="75"/>
      <c r="B130" s="79">
        <v>0</v>
      </c>
      <c r="D130" s="75"/>
      <c r="E130" s="79">
        <v>0</v>
      </c>
      <c r="G130" s="75"/>
      <c r="H130" s="79">
        <v>0</v>
      </c>
    </row>
    <row r="131" spans="1:8" x14ac:dyDescent="0.2">
      <c r="A131" s="75"/>
      <c r="B131" s="79">
        <v>0</v>
      </c>
      <c r="D131" s="75"/>
      <c r="E131" s="79">
        <v>0</v>
      </c>
      <c r="G131" s="75"/>
      <c r="H131" s="79">
        <v>0</v>
      </c>
    </row>
    <row r="132" spans="1:8" x14ac:dyDescent="0.2">
      <c r="A132" s="75"/>
      <c r="B132" s="79">
        <v>0</v>
      </c>
      <c r="D132" s="75"/>
      <c r="E132" s="79">
        <v>0</v>
      </c>
      <c r="G132" s="75"/>
      <c r="H132" s="79">
        <v>0</v>
      </c>
    </row>
    <row r="133" spans="1:8" x14ac:dyDescent="0.2">
      <c r="A133" s="75"/>
      <c r="B133" s="79">
        <v>0</v>
      </c>
      <c r="D133" s="75"/>
      <c r="E133" s="79">
        <v>0</v>
      </c>
      <c r="G133" s="75"/>
      <c r="H133" s="79">
        <v>0</v>
      </c>
    </row>
    <row r="134" spans="1:8" x14ac:dyDescent="0.2">
      <c r="A134" s="75"/>
      <c r="B134" s="79">
        <v>0</v>
      </c>
      <c r="D134" s="75"/>
      <c r="E134" s="79">
        <v>0</v>
      </c>
      <c r="G134" s="75"/>
      <c r="H134" s="79">
        <v>0</v>
      </c>
    </row>
    <row r="135" spans="1:8" x14ac:dyDescent="0.2">
      <c r="A135" s="75"/>
      <c r="B135" s="79">
        <v>0</v>
      </c>
      <c r="D135" s="75"/>
      <c r="E135" s="79">
        <v>0</v>
      </c>
      <c r="G135" s="75"/>
      <c r="H135" s="79">
        <v>0</v>
      </c>
    </row>
    <row r="136" spans="1:8" x14ac:dyDescent="0.2">
      <c r="A136" s="75"/>
      <c r="B136" s="79">
        <v>0</v>
      </c>
      <c r="D136" s="75"/>
      <c r="E136" s="79">
        <v>0</v>
      </c>
      <c r="G136" s="75"/>
      <c r="H136" s="79">
        <v>0</v>
      </c>
    </row>
    <row r="137" spans="1:8" x14ac:dyDescent="0.2">
      <c r="A137" s="75"/>
      <c r="B137" s="79">
        <v>0</v>
      </c>
      <c r="D137" s="75"/>
      <c r="E137" s="79">
        <v>0</v>
      </c>
      <c r="G137" s="75"/>
      <c r="H137" s="79">
        <v>0</v>
      </c>
    </row>
    <row r="138" spans="1:8" x14ac:dyDescent="0.2">
      <c r="A138" s="75"/>
      <c r="B138" s="79">
        <v>0</v>
      </c>
      <c r="D138" s="75"/>
      <c r="E138" s="79">
        <v>0</v>
      </c>
      <c r="G138" s="75"/>
      <c r="H138" s="79">
        <v>0</v>
      </c>
    </row>
    <row r="139" spans="1:8" x14ac:dyDescent="0.2">
      <c r="A139" s="75"/>
      <c r="B139" s="79">
        <v>0</v>
      </c>
      <c r="D139" s="75"/>
      <c r="E139" s="79">
        <v>0</v>
      </c>
      <c r="G139" s="75"/>
      <c r="H139" s="79">
        <v>0</v>
      </c>
    </row>
    <row r="140" spans="1:8" x14ac:dyDescent="0.2">
      <c r="A140" s="75"/>
      <c r="B140" s="79">
        <v>0</v>
      </c>
      <c r="D140" s="75"/>
      <c r="E140" s="79">
        <v>0</v>
      </c>
      <c r="G140" s="75"/>
      <c r="H140" s="79">
        <v>0</v>
      </c>
    </row>
    <row r="141" spans="1:8" x14ac:dyDescent="0.2">
      <c r="A141" s="75"/>
      <c r="B141" s="79">
        <v>0</v>
      </c>
      <c r="D141" s="75"/>
      <c r="E141" s="79">
        <v>0</v>
      </c>
      <c r="G141" s="75"/>
      <c r="H141" s="79">
        <v>0</v>
      </c>
    </row>
    <row r="142" spans="1:8" x14ac:dyDescent="0.2">
      <c r="A142" s="75"/>
      <c r="B142" s="79">
        <v>0</v>
      </c>
      <c r="D142" s="75"/>
      <c r="E142" s="79">
        <v>0</v>
      </c>
      <c r="G142" s="75"/>
      <c r="H142" s="79">
        <v>0</v>
      </c>
    </row>
    <row r="143" spans="1:8" x14ac:dyDescent="0.2">
      <c r="A143" s="75"/>
      <c r="B143" s="79">
        <v>0</v>
      </c>
      <c r="D143" s="75"/>
      <c r="E143" s="79">
        <v>0</v>
      </c>
      <c r="G143" s="75"/>
      <c r="H143" s="79">
        <v>0</v>
      </c>
    </row>
    <row r="144" spans="1:8" x14ac:dyDescent="0.2">
      <c r="A144" s="75"/>
      <c r="B144" s="79">
        <v>0</v>
      </c>
      <c r="D144" s="75"/>
      <c r="E144" s="79">
        <v>0</v>
      </c>
      <c r="G144" s="75"/>
      <c r="H144" s="79">
        <v>0</v>
      </c>
    </row>
    <row r="145" spans="1:8" x14ac:dyDescent="0.2">
      <c r="A145" s="75"/>
      <c r="B145" s="79">
        <v>0</v>
      </c>
      <c r="D145" s="75"/>
      <c r="E145" s="79">
        <v>0</v>
      </c>
      <c r="G145" s="75"/>
      <c r="H145" s="79">
        <v>0</v>
      </c>
    </row>
    <row r="146" spans="1:8" x14ac:dyDescent="0.2">
      <c r="A146" s="75"/>
      <c r="B146" s="79">
        <v>0</v>
      </c>
      <c r="D146" s="75"/>
      <c r="E146" s="79">
        <v>0</v>
      </c>
      <c r="G146" s="75"/>
      <c r="H146" s="79">
        <v>0</v>
      </c>
    </row>
    <row r="147" spans="1:8" x14ac:dyDescent="0.2">
      <c r="A147" s="75"/>
      <c r="B147" s="79">
        <v>0</v>
      </c>
      <c r="D147" s="75"/>
      <c r="E147" s="79">
        <v>0</v>
      </c>
      <c r="G147" s="75"/>
      <c r="H147" s="79">
        <v>0</v>
      </c>
    </row>
    <row r="148" spans="1:8" x14ac:dyDescent="0.2">
      <c r="A148" s="75"/>
      <c r="B148" s="79">
        <v>0</v>
      </c>
      <c r="D148" s="75"/>
      <c r="E148" s="79">
        <v>0</v>
      </c>
      <c r="G148" s="75"/>
      <c r="H148" s="79">
        <v>0</v>
      </c>
    </row>
    <row r="149" spans="1:8" x14ac:dyDescent="0.2">
      <c r="A149" s="75"/>
      <c r="B149" s="79">
        <v>0</v>
      </c>
      <c r="D149" s="75"/>
      <c r="E149" s="79">
        <v>0</v>
      </c>
      <c r="G149" s="75"/>
      <c r="H149" s="79">
        <v>0</v>
      </c>
    </row>
    <row r="150" spans="1:8" x14ac:dyDescent="0.2">
      <c r="A150" s="75"/>
      <c r="B150" s="79">
        <v>0</v>
      </c>
      <c r="D150" s="75"/>
      <c r="E150" s="79">
        <v>0</v>
      </c>
      <c r="G150" s="75"/>
      <c r="H150" s="79">
        <v>0</v>
      </c>
    </row>
    <row r="151" spans="1:8" x14ac:dyDescent="0.2">
      <c r="A151" s="75"/>
      <c r="B151" s="79">
        <v>0</v>
      </c>
      <c r="D151" s="75"/>
      <c r="E151" s="79">
        <v>0</v>
      </c>
      <c r="G151" s="75"/>
      <c r="H151" s="79">
        <v>0</v>
      </c>
    </row>
    <row r="152" spans="1:8" x14ac:dyDescent="0.2">
      <c r="A152" s="75"/>
      <c r="B152" s="79">
        <v>0</v>
      </c>
      <c r="D152" s="75"/>
      <c r="E152" s="79">
        <v>0</v>
      </c>
      <c r="G152" s="75"/>
      <c r="H152" s="79">
        <v>0</v>
      </c>
    </row>
    <row r="153" spans="1:8" x14ac:dyDescent="0.2">
      <c r="A153" s="75"/>
      <c r="B153" s="79">
        <v>0</v>
      </c>
      <c r="D153" s="75"/>
      <c r="E153" s="79">
        <v>0</v>
      </c>
      <c r="G153" s="75"/>
      <c r="H153" s="79">
        <v>0</v>
      </c>
    </row>
    <row r="154" spans="1:8" x14ac:dyDescent="0.2">
      <c r="A154" s="75"/>
      <c r="B154" s="79">
        <v>0</v>
      </c>
      <c r="D154" s="75"/>
      <c r="E154" s="79">
        <v>0</v>
      </c>
      <c r="G154" s="75"/>
      <c r="H154" s="79">
        <v>0</v>
      </c>
    </row>
    <row r="155" spans="1:8" x14ac:dyDescent="0.2">
      <c r="A155" s="75"/>
      <c r="B155" s="79">
        <v>0</v>
      </c>
      <c r="D155" s="75"/>
      <c r="E155" s="79">
        <v>0</v>
      </c>
      <c r="G155" s="75"/>
      <c r="H155" s="79">
        <v>0</v>
      </c>
    </row>
    <row r="156" spans="1:8" x14ac:dyDescent="0.2">
      <c r="A156" s="75"/>
      <c r="B156" s="79">
        <v>0</v>
      </c>
      <c r="D156" s="75"/>
      <c r="E156" s="79">
        <v>0</v>
      </c>
      <c r="G156" s="75"/>
      <c r="H156" s="79">
        <v>0</v>
      </c>
    </row>
    <row r="157" spans="1:8" x14ac:dyDescent="0.2">
      <c r="A157" s="75"/>
      <c r="B157" s="79">
        <v>0</v>
      </c>
      <c r="D157" s="75"/>
      <c r="E157" s="79">
        <v>0</v>
      </c>
      <c r="G157" s="75"/>
      <c r="H157" s="79">
        <v>0</v>
      </c>
    </row>
    <row r="158" spans="1:8" x14ac:dyDescent="0.2">
      <c r="A158" s="75"/>
      <c r="B158" s="79">
        <v>0</v>
      </c>
      <c r="D158" s="75"/>
      <c r="E158" s="79">
        <v>0</v>
      </c>
      <c r="G158" s="75"/>
      <c r="H158" s="79">
        <v>0</v>
      </c>
    </row>
    <row r="159" spans="1:8" x14ac:dyDescent="0.2">
      <c r="A159" s="75"/>
      <c r="B159" s="79">
        <v>0</v>
      </c>
      <c r="D159" s="75"/>
      <c r="E159" s="79">
        <v>0</v>
      </c>
      <c r="G159" s="75"/>
      <c r="H159" s="79">
        <v>0</v>
      </c>
    </row>
    <row r="160" spans="1:8" x14ac:dyDescent="0.2">
      <c r="A160" s="75"/>
      <c r="B160" s="79">
        <v>0</v>
      </c>
      <c r="D160" s="75"/>
      <c r="E160" s="79">
        <v>0</v>
      </c>
      <c r="G160" s="75"/>
      <c r="H160" s="79">
        <v>0</v>
      </c>
    </row>
    <row r="161" spans="1:8" x14ac:dyDescent="0.2">
      <c r="A161" s="75"/>
      <c r="B161" s="79">
        <v>0</v>
      </c>
      <c r="D161" s="75"/>
      <c r="E161" s="79">
        <v>0</v>
      </c>
      <c r="G161" s="75"/>
      <c r="H161" s="79">
        <v>0</v>
      </c>
    </row>
    <row r="162" spans="1:8" x14ac:dyDescent="0.2">
      <c r="A162" s="75"/>
      <c r="B162" s="79">
        <v>0</v>
      </c>
      <c r="D162" s="75"/>
      <c r="E162" s="79">
        <v>0</v>
      </c>
      <c r="G162" s="75"/>
      <c r="H162" s="79">
        <v>0</v>
      </c>
    </row>
    <row r="163" spans="1:8" x14ac:dyDescent="0.2">
      <c r="A163" s="75"/>
      <c r="B163" s="79">
        <v>0</v>
      </c>
      <c r="D163" s="75"/>
      <c r="E163" s="79">
        <v>0</v>
      </c>
      <c r="G163" s="75"/>
      <c r="H163" s="79">
        <v>0</v>
      </c>
    </row>
    <row r="164" spans="1:8" x14ac:dyDescent="0.2">
      <c r="A164" s="75"/>
      <c r="B164" s="79">
        <v>0</v>
      </c>
      <c r="D164" s="75"/>
      <c r="E164" s="79">
        <v>0</v>
      </c>
      <c r="G164" s="75"/>
      <c r="H164" s="79">
        <v>0</v>
      </c>
    </row>
    <row r="165" spans="1:8" x14ac:dyDescent="0.2">
      <c r="A165" s="75"/>
      <c r="B165" s="79">
        <v>0</v>
      </c>
      <c r="D165" s="75"/>
      <c r="E165" s="79">
        <v>0</v>
      </c>
      <c r="G165" s="75"/>
      <c r="H165" s="79">
        <v>0</v>
      </c>
    </row>
    <row r="166" spans="1:8" x14ac:dyDescent="0.2">
      <c r="A166" s="75"/>
      <c r="B166" s="79">
        <v>0</v>
      </c>
      <c r="D166" s="75"/>
      <c r="E166" s="79">
        <v>0</v>
      </c>
      <c r="G166" s="75"/>
      <c r="H166" s="79">
        <v>0</v>
      </c>
    </row>
    <row r="167" spans="1:8" x14ac:dyDescent="0.2">
      <c r="A167" s="75"/>
      <c r="B167" s="79">
        <v>0</v>
      </c>
      <c r="D167" s="75"/>
      <c r="E167" s="79">
        <v>0</v>
      </c>
      <c r="G167" s="75"/>
      <c r="H167" s="79">
        <v>0</v>
      </c>
    </row>
    <row r="168" spans="1:8" x14ac:dyDescent="0.2">
      <c r="A168" s="75"/>
      <c r="B168" s="79">
        <v>0</v>
      </c>
      <c r="D168" s="75"/>
      <c r="E168" s="79">
        <v>0</v>
      </c>
      <c r="G168" s="75"/>
      <c r="H168" s="79">
        <v>0</v>
      </c>
    </row>
    <row r="169" spans="1:8" x14ac:dyDescent="0.2">
      <c r="A169" s="75"/>
      <c r="B169" s="79">
        <v>0</v>
      </c>
      <c r="D169" s="75"/>
      <c r="E169" s="79">
        <v>0</v>
      </c>
      <c r="G169" s="75"/>
      <c r="H169" s="79">
        <v>0</v>
      </c>
    </row>
    <row r="170" spans="1:8" x14ac:dyDescent="0.2">
      <c r="A170" s="75"/>
      <c r="B170" s="79">
        <v>0</v>
      </c>
      <c r="D170" s="75"/>
      <c r="E170" s="79">
        <v>0</v>
      </c>
      <c r="G170" s="75"/>
      <c r="H170" s="79">
        <v>0</v>
      </c>
    </row>
    <row r="171" spans="1:8" x14ac:dyDescent="0.2">
      <c r="A171" s="75"/>
      <c r="B171" s="79">
        <v>0</v>
      </c>
      <c r="D171" s="75"/>
      <c r="E171" s="79">
        <v>0</v>
      </c>
      <c r="G171" s="75"/>
      <c r="H171" s="79">
        <v>0</v>
      </c>
    </row>
    <row r="172" spans="1:8" x14ac:dyDescent="0.2">
      <c r="A172" s="75"/>
      <c r="B172" s="79">
        <v>0</v>
      </c>
      <c r="D172" s="75"/>
      <c r="E172" s="79">
        <v>0</v>
      </c>
      <c r="G172" s="75"/>
      <c r="H172" s="79">
        <v>0</v>
      </c>
    </row>
    <row r="173" spans="1:8" x14ac:dyDescent="0.2">
      <c r="A173" s="75"/>
      <c r="B173" s="79">
        <v>0</v>
      </c>
      <c r="D173" s="75"/>
      <c r="E173" s="79">
        <v>0</v>
      </c>
      <c r="G173" s="75"/>
      <c r="H173" s="79">
        <v>0</v>
      </c>
    </row>
    <row r="174" spans="1:8" x14ac:dyDescent="0.2">
      <c r="A174" s="75"/>
      <c r="B174" s="79">
        <v>0</v>
      </c>
      <c r="D174" s="75"/>
      <c r="E174" s="79">
        <v>0</v>
      </c>
      <c r="G174" s="75"/>
      <c r="H174" s="79">
        <v>0</v>
      </c>
    </row>
    <row r="175" spans="1:8" x14ac:dyDescent="0.2">
      <c r="A175" s="75"/>
      <c r="B175" s="79">
        <v>0</v>
      </c>
      <c r="D175" s="75"/>
      <c r="E175" s="79">
        <v>0</v>
      </c>
      <c r="G175" s="75"/>
      <c r="H175" s="79">
        <v>0</v>
      </c>
    </row>
    <row r="176" spans="1:8" x14ac:dyDescent="0.2">
      <c r="A176" s="75"/>
      <c r="B176" s="79">
        <v>0</v>
      </c>
      <c r="D176" s="75"/>
      <c r="E176" s="79">
        <v>0</v>
      </c>
      <c r="G176" s="75"/>
      <c r="H176" s="79">
        <v>0</v>
      </c>
    </row>
    <row r="177" spans="1:8" x14ac:dyDescent="0.2">
      <c r="A177" s="75"/>
      <c r="B177" s="79">
        <v>0</v>
      </c>
      <c r="D177" s="75"/>
      <c r="E177" s="79">
        <v>0</v>
      </c>
      <c r="G177" s="75"/>
      <c r="H177" s="79">
        <v>0</v>
      </c>
    </row>
    <row r="178" spans="1:8" x14ac:dyDescent="0.2">
      <c r="A178" s="75"/>
      <c r="B178" s="79">
        <v>0</v>
      </c>
      <c r="D178" s="75"/>
      <c r="E178" s="79">
        <v>0</v>
      </c>
      <c r="G178" s="75"/>
      <c r="H178" s="79">
        <v>0</v>
      </c>
    </row>
    <row r="179" spans="1:8" x14ac:dyDescent="0.2">
      <c r="A179" s="75"/>
      <c r="B179" s="79">
        <v>0</v>
      </c>
      <c r="D179" s="75"/>
      <c r="E179" s="79">
        <v>0</v>
      </c>
      <c r="G179" s="75"/>
      <c r="H179" s="79">
        <v>0</v>
      </c>
    </row>
    <row r="180" spans="1:8" x14ac:dyDescent="0.2">
      <c r="A180" s="75"/>
      <c r="B180" s="79">
        <v>0</v>
      </c>
      <c r="D180" s="75"/>
      <c r="E180" s="79">
        <v>0</v>
      </c>
      <c r="G180" s="75"/>
      <c r="H180" s="79">
        <v>0</v>
      </c>
    </row>
    <row r="181" spans="1:8" x14ac:dyDescent="0.2">
      <c r="A181" s="75"/>
      <c r="B181" s="79">
        <v>0</v>
      </c>
      <c r="D181" s="75"/>
      <c r="E181" s="79">
        <v>0</v>
      </c>
      <c r="G181" s="75"/>
      <c r="H181" s="79">
        <v>0</v>
      </c>
    </row>
    <row r="182" spans="1:8" x14ac:dyDescent="0.2">
      <c r="A182" s="75"/>
      <c r="B182" s="79">
        <v>0</v>
      </c>
      <c r="D182" s="75"/>
      <c r="E182" s="79">
        <v>0</v>
      </c>
      <c r="G182" s="75"/>
      <c r="H182" s="79">
        <v>0</v>
      </c>
    </row>
    <row r="183" spans="1:8" x14ac:dyDescent="0.2">
      <c r="A183" s="75"/>
      <c r="B183" s="79">
        <v>0</v>
      </c>
      <c r="D183" s="75"/>
      <c r="E183" s="79">
        <v>0</v>
      </c>
      <c r="G183" s="75"/>
      <c r="H183" s="79">
        <v>0</v>
      </c>
    </row>
    <row r="184" spans="1:8" x14ac:dyDescent="0.2">
      <c r="A184" s="75"/>
      <c r="B184" s="79">
        <v>0</v>
      </c>
      <c r="D184" s="75"/>
      <c r="E184" s="79">
        <v>0</v>
      </c>
      <c r="G184" s="75"/>
      <c r="H184" s="79">
        <v>0</v>
      </c>
    </row>
    <row r="185" spans="1:8" x14ac:dyDescent="0.2">
      <c r="A185" s="75"/>
      <c r="B185" s="79">
        <v>0</v>
      </c>
      <c r="D185" s="75"/>
      <c r="E185" s="79">
        <v>0</v>
      </c>
      <c r="G185" s="75"/>
      <c r="H185" s="79">
        <v>0</v>
      </c>
    </row>
    <row r="186" spans="1:8" x14ac:dyDescent="0.2">
      <c r="A186" s="75"/>
      <c r="B186" s="79">
        <v>0</v>
      </c>
      <c r="D186" s="75"/>
      <c r="E186" s="79">
        <v>0</v>
      </c>
      <c r="G186" s="75"/>
      <c r="H186" s="79">
        <v>0</v>
      </c>
    </row>
    <row r="187" spans="1:8" x14ac:dyDescent="0.2">
      <c r="A187" s="75"/>
      <c r="B187" s="79">
        <v>0</v>
      </c>
      <c r="D187" s="75"/>
      <c r="E187" s="79">
        <v>0</v>
      </c>
      <c r="G187" s="75"/>
      <c r="H187" s="79">
        <v>0</v>
      </c>
    </row>
    <row r="188" spans="1:8" x14ac:dyDescent="0.2">
      <c r="A188" s="75"/>
      <c r="B188" s="79">
        <v>0</v>
      </c>
      <c r="D188" s="75"/>
      <c r="E188" s="79">
        <v>0</v>
      </c>
      <c r="G188" s="75"/>
      <c r="H188" s="79">
        <v>0</v>
      </c>
    </row>
    <row r="189" spans="1:8" x14ac:dyDescent="0.2">
      <c r="A189" s="75"/>
      <c r="B189" s="79">
        <v>0</v>
      </c>
      <c r="D189" s="75"/>
      <c r="E189" s="79">
        <v>0</v>
      </c>
      <c r="G189" s="75"/>
      <c r="H189" s="79">
        <v>0</v>
      </c>
    </row>
    <row r="190" spans="1:8" x14ac:dyDescent="0.2">
      <c r="A190" s="75"/>
      <c r="B190" s="79">
        <v>0</v>
      </c>
      <c r="D190" s="75"/>
      <c r="E190" s="79">
        <v>0</v>
      </c>
      <c r="G190" s="75"/>
      <c r="H190" s="79">
        <v>0</v>
      </c>
    </row>
    <row r="191" spans="1:8" x14ac:dyDescent="0.2">
      <c r="A191" s="75"/>
      <c r="B191" s="79">
        <v>0</v>
      </c>
      <c r="D191" s="75"/>
      <c r="E191" s="79">
        <v>0</v>
      </c>
      <c r="G191" s="75"/>
      <c r="H191" s="79">
        <v>0</v>
      </c>
    </row>
    <row r="192" spans="1:8" x14ac:dyDescent="0.2">
      <c r="A192" s="75"/>
      <c r="B192" s="79">
        <v>0</v>
      </c>
      <c r="D192" s="75"/>
      <c r="E192" s="79">
        <v>0</v>
      </c>
      <c r="G192" s="75"/>
      <c r="H192" s="79">
        <v>0</v>
      </c>
    </row>
    <row r="193" spans="1:8" x14ac:dyDescent="0.2">
      <c r="A193" s="75"/>
      <c r="B193" s="79">
        <v>0</v>
      </c>
      <c r="D193" s="75"/>
      <c r="E193" s="79">
        <v>0</v>
      </c>
      <c r="G193" s="75"/>
      <c r="H193" s="79">
        <v>0</v>
      </c>
    </row>
    <row r="194" spans="1:8" x14ac:dyDescent="0.2">
      <c r="A194" s="75"/>
      <c r="B194" s="79">
        <v>0</v>
      </c>
      <c r="D194" s="75"/>
      <c r="E194" s="79">
        <v>0</v>
      </c>
      <c r="G194" s="75"/>
      <c r="H194" s="79">
        <v>0</v>
      </c>
    </row>
    <row r="195" spans="1:8" x14ac:dyDescent="0.2">
      <c r="A195" s="75"/>
      <c r="B195" s="79">
        <v>0</v>
      </c>
      <c r="D195" s="75"/>
      <c r="E195" s="79">
        <v>0</v>
      </c>
      <c r="G195" s="75"/>
      <c r="H195" s="79">
        <v>0</v>
      </c>
    </row>
    <row r="196" spans="1:8" x14ac:dyDescent="0.2">
      <c r="A196" s="75"/>
      <c r="B196" s="79">
        <v>0</v>
      </c>
      <c r="D196" s="75"/>
      <c r="E196" s="79">
        <v>0</v>
      </c>
      <c r="G196" s="75"/>
      <c r="H196" s="79">
        <v>0</v>
      </c>
    </row>
    <row r="197" spans="1:8" x14ac:dyDescent="0.2">
      <c r="A197" s="75"/>
      <c r="B197" s="79">
        <v>0</v>
      </c>
      <c r="D197" s="75"/>
      <c r="E197" s="79">
        <v>0</v>
      </c>
      <c r="G197" s="75"/>
      <c r="H197" s="79">
        <v>0</v>
      </c>
    </row>
    <row r="198" spans="1:8" x14ac:dyDescent="0.2">
      <c r="A198" s="75"/>
      <c r="B198" s="79">
        <v>0</v>
      </c>
      <c r="D198" s="75"/>
      <c r="E198" s="79">
        <v>0</v>
      </c>
      <c r="G198" s="75"/>
      <c r="H198" s="79">
        <v>0</v>
      </c>
    </row>
    <row r="199" spans="1:8" x14ac:dyDescent="0.2">
      <c r="A199" s="75"/>
      <c r="B199" s="79">
        <v>0</v>
      </c>
      <c r="D199" s="75"/>
      <c r="E199" s="79">
        <v>0</v>
      </c>
      <c r="G199" s="75"/>
      <c r="H199" s="79">
        <v>0</v>
      </c>
    </row>
    <row r="200" spans="1:8" x14ac:dyDescent="0.2">
      <c r="A200" s="75"/>
      <c r="B200" s="79">
        <v>0</v>
      </c>
      <c r="D200" s="75"/>
      <c r="E200" s="79">
        <v>0</v>
      </c>
      <c r="G200" s="75"/>
      <c r="H200" s="79">
        <v>0</v>
      </c>
    </row>
    <row r="201" spans="1:8" x14ac:dyDescent="0.2">
      <c r="A201" s="75"/>
      <c r="B201" s="79">
        <v>0</v>
      </c>
      <c r="D201" s="75"/>
      <c r="E201" s="79">
        <v>0</v>
      </c>
      <c r="G201" s="75"/>
      <c r="H201" s="79">
        <v>0</v>
      </c>
    </row>
    <row r="202" spans="1:8" x14ac:dyDescent="0.2">
      <c r="A202" s="75"/>
      <c r="B202" s="79">
        <v>0</v>
      </c>
      <c r="D202" s="75"/>
      <c r="E202" s="79">
        <v>0</v>
      </c>
      <c r="G202" s="75"/>
      <c r="H202" s="79">
        <v>0</v>
      </c>
    </row>
    <row r="203" spans="1:8" x14ac:dyDescent="0.2">
      <c r="A203" s="75"/>
      <c r="B203" s="79">
        <v>0</v>
      </c>
      <c r="D203" s="75"/>
      <c r="E203" s="79">
        <v>0</v>
      </c>
      <c r="G203" s="75"/>
      <c r="H203" s="79">
        <v>0</v>
      </c>
    </row>
    <row r="204" spans="1:8" x14ac:dyDescent="0.2">
      <c r="A204" s="75"/>
      <c r="B204" s="79">
        <v>0</v>
      </c>
      <c r="D204" s="75"/>
      <c r="E204" s="79">
        <v>0</v>
      </c>
      <c r="G204" s="75"/>
      <c r="H204" s="79">
        <v>0</v>
      </c>
    </row>
    <row r="205" spans="1:8" x14ac:dyDescent="0.2">
      <c r="A205" s="75"/>
      <c r="B205" s="79">
        <v>0</v>
      </c>
      <c r="D205" s="75"/>
      <c r="E205" s="79">
        <v>0</v>
      </c>
      <c r="G205" s="75"/>
      <c r="H205" s="79">
        <v>0</v>
      </c>
    </row>
    <row r="206" spans="1:8" x14ac:dyDescent="0.2">
      <c r="A206" s="75"/>
      <c r="B206" s="79">
        <v>0</v>
      </c>
      <c r="D206" s="75"/>
      <c r="E206" s="79">
        <v>0</v>
      </c>
      <c r="G206" s="75"/>
      <c r="H206" s="79">
        <v>0</v>
      </c>
    </row>
    <row r="207" spans="1:8" x14ac:dyDescent="0.2">
      <c r="A207" s="75"/>
      <c r="B207" s="79">
        <v>0</v>
      </c>
      <c r="D207" s="75"/>
      <c r="E207" s="79">
        <v>0</v>
      </c>
      <c r="G207" s="75"/>
      <c r="H207" s="79">
        <v>0</v>
      </c>
    </row>
    <row r="208" spans="1:8" x14ac:dyDescent="0.2">
      <c r="A208" s="75"/>
      <c r="B208" s="79">
        <v>0</v>
      </c>
      <c r="D208" s="75"/>
      <c r="E208" s="79">
        <v>0</v>
      </c>
      <c r="G208" s="75"/>
      <c r="H208" s="79">
        <v>0</v>
      </c>
    </row>
    <row r="209" spans="1:8" x14ac:dyDescent="0.2">
      <c r="A209" s="75"/>
      <c r="B209" s="79">
        <v>0</v>
      </c>
      <c r="D209" s="75"/>
      <c r="E209" s="79">
        <v>0</v>
      </c>
      <c r="G209" s="75"/>
      <c r="H209" s="79">
        <v>0</v>
      </c>
    </row>
    <row r="210" spans="1:8" x14ac:dyDescent="0.2">
      <c r="A210" s="75"/>
      <c r="B210" s="79">
        <v>0</v>
      </c>
      <c r="D210" s="75"/>
      <c r="E210" s="79">
        <v>0</v>
      </c>
      <c r="G210" s="75"/>
      <c r="H210" s="79">
        <v>0</v>
      </c>
    </row>
    <row r="211" spans="1:8" x14ac:dyDescent="0.2">
      <c r="A211" s="75"/>
      <c r="B211" s="79">
        <v>0</v>
      </c>
      <c r="D211" s="75"/>
      <c r="E211" s="79">
        <v>0</v>
      </c>
      <c r="G211" s="75"/>
      <c r="H211" s="79">
        <v>0</v>
      </c>
    </row>
    <row r="212" spans="1:8" x14ac:dyDescent="0.2">
      <c r="A212" s="75"/>
      <c r="B212" s="79">
        <v>0</v>
      </c>
      <c r="D212" s="75"/>
      <c r="E212" s="79">
        <v>0</v>
      </c>
      <c r="G212" s="75"/>
      <c r="H212" s="79">
        <v>0</v>
      </c>
    </row>
    <row r="213" spans="1:8" x14ac:dyDescent="0.2">
      <c r="A213" s="75"/>
      <c r="B213" s="79">
        <v>0</v>
      </c>
      <c r="D213" s="75"/>
      <c r="E213" s="79">
        <v>0</v>
      </c>
      <c r="G213" s="75"/>
      <c r="H213" s="79">
        <v>0</v>
      </c>
    </row>
    <row r="214" spans="1:8" x14ac:dyDescent="0.2">
      <c r="A214" s="75"/>
      <c r="B214" s="79">
        <v>0</v>
      </c>
      <c r="D214" s="75"/>
      <c r="E214" s="79">
        <v>0</v>
      </c>
      <c r="G214" s="75"/>
      <c r="H214" s="79">
        <v>0</v>
      </c>
    </row>
    <row r="215" spans="1:8" x14ac:dyDescent="0.2">
      <c r="A215" s="75"/>
      <c r="B215" s="79">
        <v>0</v>
      </c>
      <c r="D215" s="75"/>
      <c r="E215" s="79">
        <v>0</v>
      </c>
      <c r="G215" s="75"/>
      <c r="H215" s="79">
        <v>0</v>
      </c>
    </row>
    <row r="216" spans="1:8" x14ac:dyDescent="0.2">
      <c r="A216" s="75"/>
      <c r="B216" s="79">
        <v>0</v>
      </c>
      <c r="D216" s="75"/>
      <c r="E216" s="79">
        <v>0</v>
      </c>
      <c r="G216" s="75"/>
      <c r="H216" s="79">
        <v>0</v>
      </c>
    </row>
    <row r="217" spans="1:8" x14ac:dyDescent="0.2">
      <c r="A217" s="75"/>
      <c r="B217" s="79">
        <v>0</v>
      </c>
      <c r="D217" s="75"/>
      <c r="E217" s="79">
        <v>0</v>
      </c>
      <c r="G217" s="75"/>
      <c r="H217" s="79">
        <v>0</v>
      </c>
    </row>
    <row r="218" spans="1:8" x14ac:dyDescent="0.2">
      <c r="A218" s="75"/>
      <c r="B218" s="79">
        <v>0</v>
      </c>
      <c r="D218" s="75"/>
      <c r="E218" s="79">
        <v>0</v>
      </c>
      <c r="G218" s="75"/>
      <c r="H218" s="79">
        <v>0</v>
      </c>
    </row>
    <row r="219" spans="1:8" x14ac:dyDescent="0.2">
      <c r="A219" s="75"/>
      <c r="B219" s="79">
        <v>0</v>
      </c>
      <c r="D219" s="75"/>
      <c r="E219" s="79">
        <v>0</v>
      </c>
      <c r="G219" s="75"/>
      <c r="H219" s="79">
        <v>0</v>
      </c>
    </row>
    <row r="220" spans="1:8" x14ac:dyDescent="0.2">
      <c r="A220" s="75"/>
      <c r="B220" s="79">
        <v>0</v>
      </c>
      <c r="D220" s="75"/>
      <c r="E220" s="79">
        <v>0</v>
      </c>
      <c r="G220" s="75"/>
      <c r="H220" s="79">
        <v>0</v>
      </c>
    </row>
    <row r="221" spans="1:8" x14ac:dyDescent="0.2">
      <c r="A221" s="75"/>
      <c r="B221" s="79">
        <v>0</v>
      </c>
      <c r="D221" s="75"/>
      <c r="E221" s="79">
        <v>0</v>
      </c>
      <c r="G221" s="75"/>
      <c r="H221" s="79">
        <v>0</v>
      </c>
    </row>
    <row r="222" spans="1:8" x14ac:dyDescent="0.2">
      <c r="A222" s="75"/>
      <c r="B222" s="79">
        <v>0</v>
      </c>
      <c r="D222" s="75"/>
      <c r="E222" s="79">
        <v>0</v>
      </c>
      <c r="G222" s="75"/>
      <c r="H222" s="79">
        <v>0</v>
      </c>
    </row>
    <row r="223" spans="1:8" x14ac:dyDescent="0.2">
      <c r="A223" s="75"/>
      <c r="B223" s="79">
        <v>0</v>
      </c>
      <c r="D223" s="75"/>
      <c r="E223" s="79">
        <v>0</v>
      </c>
      <c r="G223" s="75"/>
      <c r="H223" s="79">
        <v>0</v>
      </c>
    </row>
    <row r="224" spans="1:8" x14ac:dyDescent="0.2">
      <c r="A224" s="75"/>
      <c r="B224" s="79">
        <v>0</v>
      </c>
      <c r="D224" s="75"/>
      <c r="E224" s="79">
        <v>0</v>
      </c>
      <c r="G224" s="75"/>
      <c r="H224" s="79">
        <v>0</v>
      </c>
    </row>
    <row r="225" spans="1:8" x14ac:dyDescent="0.2">
      <c r="A225" s="75"/>
      <c r="B225" s="79">
        <v>0</v>
      </c>
      <c r="D225" s="75"/>
      <c r="E225" s="79">
        <v>0</v>
      </c>
      <c r="G225" s="75"/>
      <c r="H225" s="79">
        <v>0</v>
      </c>
    </row>
    <row r="226" spans="1:8" x14ac:dyDescent="0.2">
      <c r="A226" s="75"/>
      <c r="B226" s="79">
        <v>0</v>
      </c>
      <c r="D226" s="75"/>
      <c r="E226" s="79">
        <v>0</v>
      </c>
      <c r="G226" s="75"/>
      <c r="H226" s="79">
        <v>0</v>
      </c>
    </row>
    <row r="227" spans="1:8" x14ac:dyDescent="0.2">
      <c r="A227" s="75"/>
      <c r="B227" s="79">
        <v>0</v>
      </c>
      <c r="D227" s="75"/>
      <c r="E227" s="79">
        <v>0</v>
      </c>
      <c r="G227" s="75"/>
      <c r="H227" s="79">
        <v>0</v>
      </c>
    </row>
    <row r="228" spans="1:8" x14ac:dyDescent="0.2">
      <c r="A228" s="75"/>
      <c r="B228" s="79">
        <v>0</v>
      </c>
      <c r="D228" s="75"/>
      <c r="E228" s="79">
        <v>0</v>
      </c>
      <c r="G228" s="75"/>
      <c r="H228" s="79">
        <v>0</v>
      </c>
    </row>
    <row r="229" spans="1:8" x14ac:dyDescent="0.2">
      <c r="A229" s="75"/>
      <c r="B229" s="79">
        <v>0</v>
      </c>
      <c r="D229" s="75"/>
      <c r="E229" s="79">
        <v>0</v>
      </c>
      <c r="G229" s="75"/>
      <c r="H229" s="79">
        <v>0</v>
      </c>
    </row>
    <row r="230" spans="1:8" x14ac:dyDescent="0.2">
      <c r="A230" s="75"/>
      <c r="B230" s="79">
        <v>0</v>
      </c>
      <c r="D230" s="75"/>
      <c r="E230" s="79">
        <v>0</v>
      </c>
      <c r="G230" s="75"/>
      <c r="H230" s="79">
        <v>0</v>
      </c>
    </row>
    <row r="231" spans="1:8" x14ac:dyDescent="0.2">
      <c r="A231" s="75"/>
      <c r="B231" s="79">
        <v>0</v>
      </c>
      <c r="D231" s="75"/>
      <c r="E231" s="79">
        <v>0</v>
      </c>
      <c r="G231" s="75"/>
      <c r="H231" s="79">
        <v>0</v>
      </c>
    </row>
    <row r="232" spans="1:8" x14ac:dyDescent="0.2">
      <c r="A232" s="75"/>
      <c r="B232" s="79">
        <v>0</v>
      </c>
      <c r="D232" s="75"/>
      <c r="E232" s="79">
        <v>0</v>
      </c>
      <c r="G232" s="75"/>
      <c r="H232" s="79">
        <v>0</v>
      </c>
    </row>
    <row r="233" spans="1:8" x14ac:dyDescent="0.2">
      <c r="A233" s="75"/>
      <c r="B233" s="79">
        <v>0</v>
      </c>
      <c r="D233" s="75"/>
      <c r="E233" s="79">
        <v>0</v>
      </c>
      <c r="G233" s="75"/>
      <c r="H233" s="79">
        <v>0</v>
      </c>
    </row>
    <row r="234" spans="1:8" x14ac:dyDescent="0.2">
      <c r="A234" s="75"/>
      <c r="B234" s="79">
        <v>0</v>
      </c>
      <c r="D234" s="75"/>
      <c r="E234" s="79">
        <v>0</v>
      </c>
      <c r="G234" s="75"/>
      <c r="H234" s="79">
        <v>0</v>
      </c>
    </row>
    <row r="235" spans="1:8" x14ac:dyDescent="0.2">
      <c r="A235" s="75"/>
      <c r="B235" s="79">
        <v>0</v>
      </c>
      <c r="D235" s="75"/>
      <c r="E235" s="79">
        <v>0</v>
      </c>
      <c r="G235" s="75"/>
      <c r="H235" s="79">
        <v>0</v>
      </c>
    </row>
    <row r="236" spans="1:8" x14ac:dyDescent="0.2">
      <c r="A236" s="75"/>
      <c r="B236" s="79">
        <v>0</v>
      </c>
      <c r="D236" s="75"/>
      <c r="E236" s="79">
        <v>0</v>
      </c>
      <c r="G236" s="75"/>
      <c r="H236" s="79">
        <v>0</v>
      </c>
    </row>
    <row r="237" spans="1:8" x14ac:dyDescent="0.2">
      <c r="A237" s="75"/>
      <c r="B237" s="79">
        <v>0</v>
      </c>
      <c r="D237" s="75"/>
      <c r="E237" s="79">
        <v>0</v>
      </c>
      <c r="G237" s="75"/>
      <c r="H237" s="79">
        <v>0</v>
      </c>
    </row>
    <row r="238" spans="1:8" x14ac:dyDescent="0.2">
      <c r="A238" s="75"/>
      <c r="B238" s="79">
        <v>0</v>
      </c>
      <c r="D238" s="75"/>
      <c r="E238" s="79">
        <v>0</v>
      </c>
      <c r="G238" s="75"/>
      <c r="H238" s="79">
        <v>0</v>
      </c>
    </row>
    <row r="239" spans="1:8" x14ac:dyDescent="0.2">
      <c r="A239" s="75"/>
      <c r="B239" s="79">
        <v>0</v>
      </c>
      <c r="D239" s="75"/>
      <c r="E239" s="79">
        <v>0</v>
      </c>
      <c r="G239" s="75"/>
      <c r="H239" s="79">
        <v>0</v>
      </c>
    </row>
    <row r="240" spans="1:8" x14ac:dyDescent="0.2">
      <c r="A240" s="75"/>
      <c r="B240" s="79">
        <v>0</v>
      </c>
      <c r="D240" s="75"/>
      <c r="E240" s="79">
        <v>0</v>
      </c>
      <c r="G240" s="75"/>
      <c r="H240" s="79">
        <v>0</v>
      </c>
    </row>
    <row r="241" spans="1:8" x14ac:dyDescent="0.2">
      <c r="A241" s="75"/>
      <c r="B241" s="79">
        <v>0</v>
      </c>
      <c r="D241" s="75"/>
      <c r="E241" s="79">
        <v>0</v>
      </c>
      <c r="G241" s="75"/>
      <c r="H241" s="79">
        <v>0</v>
      </c>
    </row>
    <row r="242" spans="1:8" x14ac:dyDescent="0.2">
      <c r="A242" s="75"/>
      <c r="B242" s="79">
        <v>0</v>
      </c>
      <c r="D242" s="75"/>
      <c r="E242" s="79">
        <v>0</v>
      </c>
      <c r="G242" s="75"/>
      <c r="H242" s="79">
        <v>0</v>
      </c>
    </row>
    <row r="243" spans="1:8" x14ac:dyDescent="0.2">
      <c r="A243" s="75"/>
      <c r="B243" s="79">
        <v>0</v>
      </c>
      <c r="D243" s="75"/>
      <c r="E243" s="79">
        <v>0</v>
      </c>
      <c r="G243" s="75"/>
      <c r="H243" s="79">
        <v>0</v>
      </c>
    </row>
    <row r="244" spans="1:8" x14ac:dyDescent="0.2">
      <c r="A244" s="75"/>
      <c r="B244" s="79">
        <v>0</v>
      </c>
      <c r="D244" s="75"/>
      <c r="E244" s="79">
        <v>0</v>
      </c>
      <c r="G244" s="75"/>
      <c r="H244" s="79">
        <v>0</v>
      </c>
    </row>
    <row r="245" spans="1:8" x14ac:dyDescent="0.2">
      <c r="A245" s="75"/>
      <c r="B245" s="79">
        <v>0</v>
      </c>
      <c r="D245" s="75"/>
      <c r="E245" s="79">
        <v>0</v>
      </c>
      <c r="G245" s="75"/>
      <c r="H245" s="79">
        <v>0</v>
      </c>
    </row>
    <row r="246" spans="1:8" x14ac:dyDescent="0.2">
      <c r="A246" s="75"/>
      <c r="B246" s="79">
        <v>0</v>
      </c>
      <c r="D246" s="75"/>
      <c r="E246" s="79">
        <v>0</v>
      </c>
      <c r="G246" s="75"/>
      <c r="H246" s="79">
        <v>0</v>
      </c>
    </row>
    <row r="247" spans="1:8" x14ac:dyDescent="0.2">
      <c r="A247" s="75"/>
      <c r="B247" s="79">
        <v>0</v>
      </c>
      <c r="D247" s="75"/>
      <c r="E247" s="79">
        <v>0</v>
      </c>
      <c r="G247" s="75"/>
      <c r="H247" s="79">
        <v>0</v>
      </c>
    </row>
    <row r="248" spans="1:8" x14ac:dyDescent="0.2">
      <c r="A248" s="75"/>
      <c r="B248" s="79">
        <v>0</v>
      </c>
      <c r="D248" s="75"/>
      <c r="E248" s="79">
        <v>0</v>
      </c>
      <c r="G248" s="75"/>
      <c r="H248" s="79">
        <v>0</v>
      </c>
    </row>
    <row r="249" spans="1:8" x14ac:dyDescent="0.2">
      <c r="A249" s="75"/>
      <c r="B249" s="79">
        <v>0</v>
      </c>
      <c r="D249" s="75"/>
      <c r="E249" s="79">
        <v>0</v>
      </c>
      <c r="G249" s="75"/>
      <c r="H249" s="79">
        <v>0</v>
      </c>
    </row>
    <row r="250" spans="1:8" x14ac:dyDescent="0.2">
      <c r="A250" s="75"/>
      <c r="B250" s="79">
        <v>0</v>
      </c>
      <c r="D250" s="75"/>
      <c r="E250" s="79">
        <v>0</v>
      </c>
      <c r="G250" s="75"/>
      <c r="H250" s="79">
        <v>0</v>
      </c>
    </row>
    <row r="251" spans="1:8" x14ac:dyDescent="0.2">
      <c r="A251" s="75"/>
      <c r="B251" s="79">
        <v>0</v>
      </c>
      <c r="D251" s="75"/>
      <c r="E251" s="79">
        <v>0</v>
      </c>
      <c r="G251" s="75"/>
      <c r="H251" s="79">
        <v>0</v>
      </c>
    </row>
    <row r="252" spans="1:8" x14ac:dyDescent="0.2">
      <c r="A252" s="75"/>
      <c r="B252" s="79">
        <v>0</v>
      </c>
      <c r="D252" s="75"/>
      <c r="E252" s="79">
        <v>0</v>
      </c>
      <c r="G252" s="75"/>
      <c r="H252" s="79">
        <v>0</v>
      </c>
    </row>
    <row r="253" spans="1:8" x14ac:dyDescent="0.2">
      <c r="A253" s="75"/>
      <c r="B253" s="79">
        <v>0</v>
      </c>
      <c r="D253" s="75"/>
      <c r="E253" s="79">
        <v>0</v>
      </c>
      <c r="G253" s="75"/>
      <c r="H253" s="79">
        <v>0</v>
      </c>
    </row>
    <row r="254" spans="1:8" x14ac:dyDescent="0.2">
      <c r="A254" s="75"/>
      <c r="B254" s="79">
        <v>0</v>
      </c>
      <c r="D254" s="75"/>
      <c r="E254" s="79">
        <v>0</v>
      </c>
      <c r="G254" s="75"/>
      <c r="H254" s="79">
        <v>0</v>
      </c>
    </row>
    <row r="255" spans="1:8" x14ac:dyDescent="0.2">
      <c r="A255" s="75"/>
      <c r="B255" s="79">
        <v>0</v>
      </c>
      <c r="D255" s="75"/>
      <c r="E255" s="79">
        <v>0</v>
      </c>
      <c r="G255" s="75"/>
      <c r="H255" s="79">
        <v>0</v>
      </c>
    </row>
    <row r="256" spans="1:8" x14ac:dyDescent="0.2">
      <c r="A256" s="75"/>
      <c r="B256" s="79">
        <v>0</v>
      </c>
      <c r="D256" s="75"/>
      <c r="E256" s="79">
        <v>0</v>
      </c>
      <c r="G256" s="75"/>
      <c r="H256" s="79">
        <v>0</v>
      </c>
    </row>
    <row r="257" spans="1:8" x14ac:dyDescent="0.2">
      <c r="A257" s="75"/>
      <c r="B257" s="79">
        <v>0</v>
      </c>
      <c r="D257" s="75"/>
      <c r="E257" s="79">
        <v>0</v>
      </c>
      <c r="G257" s="75"/>
      <c r="H257" s="79">
        <v>0</v>
      </c>
    </row>
    <row r="258" spans="1:8" x14ac:dyDescent="0.2">
      <c r="A258" s="75"/>
      <c r="B258" s="79">
        <v>0</v>
      </c>
      <c r="D258" s="75"/>
      <c r="E258" s="79">
        <v>0</v>
      </c>
      <c r="G258" s="75"/>
      <c r="H258" s="79">
        <v>0</v>
      </c>
    </row>
    <row r="259" spans="1:8" x14ac:dyDescent="0.2">
      <c r="A259" s="75"/>
      <c r="B259" s="79">
        <v>0</v>
      </c>
      <c r="D259" s="75"/>
      <c r="E259" s="79">
        <v>0</v>
      </c>
      <c r="G259" s="75"/>
      <c r="H259" s="79">
        <v>0</v>
      </c>
    </row>
    <row r="260" spans="1:8" x14ac:dyDescent="0.2">
      <c r="A260" s="75"/>
      <c r="B260" s="79">
        <v>0</v>
      </c>
      <c r="D260" s="75"/>
      <c r="E260" s="79">
        <v>0</v>
      </c>
      <c r="G260" s="75"/>
      <c r="H260" s="79">
        <v>0</v>
      </c>
    </row>
    <row r="261" spans="1:8" x14ac:dyDescent="0.2">
      <c r="A261" s="75"/>
      <c r="B261" s="79">
        <v>0</v>
      </c>
      <c r="D261" s="75"/>
      <c r="E261" s="79">
        <v>0</v>
      </c>
      <c r="G261" s="75"/>
      <c r="H261" s="79">
        <v>0</v>
      </c>
    </row>
    <row r="262" spans="1:8" x14ac:dyDescent="0.2">
      <c r="A262" s="75"/>
      <c r="B262" s="79">
        <v>0</v>
      </c>
      <c r="D262" s="75"/>
      <c r="E262" s="79">
        <v>0</v>
      </c>
      <c r="G262" s="75"/>
      <c r="H262" s="79">
        <v>0</v>
      </c>
    </row>
    <row r="263" spans="1:8" x14ac:dyDescent="0.2">
      <c r="A263" s="75"/>
      <c r="B263" s="79">
        <v>0</v>
      </c>
      <c r="D263" s="75"/>
      <c r="E263" s="79">
        <v>0</v>
      </c>
      <c r="G263" s="75"/>
      <c r="H263" s="79">
        <v>0</v>
      </c>
    </row>
    <row r="264" spans="1:8" x14ac:dyDescent="0.2">
      <c r="A264" s="75"/>
      <c r="B264" s="79">
        <v>0</v>
      </c>
      <c r="D264" s="75"/>
      <c r="E264" s="79">
        <v>0</v>
      </c>
      <c r="G264" s="75"/>
      <c r="H264" s="79">
        <v>0</v>
      </c>
    </row>
    <row r="265" spans="1:8" x14ac:dyDescent="0.2">
      <c r="A265" s="75"/>
      <c r="B265" s="79">
        <v>0</v>
      </c>
      <c r="D265" s="75"/>
      <c r="E265" s="79">
        <v>0</v>
      </c>
      <c r="G265" s="75"/>
      <c r="H265" s="79">
        <v>0</v>
      </c>
    </row>
    <row r="266" spans="1:8" x14ac:dyDescent="0.2">
      <c r="A266" s="75"/>
      <c r="B266" s="79">
        <v>0</v>
      </c>
      <c r="D266" s="75"/>
      <c r="E266" s="79">
        <v>0</v>
      </c>
      <c r="G266" s="75"/>
      <c r="H266" s="79">
        <v>0</v>
      </c>
    </row>
    <row r="267" spans="1:8" x14ac:dyDescent="0.2">
      <c r="A267" s="75"/>
      <c r="B267" s="79">
        <v>0</v>
      </c>
      <c r="D267" s="75"/>
      <c r="E267" s="79">
        <v>0</v>
      </c>
      <c r="G267" s="75"/>
      <c r="H267" s="79">
        <v>0</v>
      </c>
    </row>
    <row r="268" spans="1:8" x14ac:dyDescent="0.2">
      <c r="A268" s="75"/>
      <c r="B268" s="79">
        <v>0</v>
      </c>
      <c r="D268" s="75"/>
      <c r="E268" s="79">
        <v>0</v>
      </c>
      <c r="G268" s="75"/>
      <c r="H268" s="79">
        <v>0</v>
      </c>
    </row>
    <row r="269" spans="1:8" x14ac:dyDescent="0.2">
      <c r="A269" s="75"/>
      <c r="B269" s="79">
        <v>0</v>
      </c>
      <c r="D269" s="75"/>
      <c r="E269" s="79">
        <v>0</v>
      </c>
      <c r="G269" s="75"/>
      <c r="H269" s="79">
        <v>0</v>
      </c>
    </row>
    <row r="270" spans="1:8" x14ac:dyDescent="0.2">
      <c r="A270" s="75"/>
      <c r="B270" s="79">
        <v>0</v>
      </c>
      <c r="D270" s="75"/>
      <c r="E270" s="79">
        <v>0</v>
      </c>
      <c r="G270" s="75"/>
      <c r="H270" s="79">
        <v>0</v>
      </c>
    </row>
    <row r="271" spans="1:8" x14ac:dyDescent="0.2">
      <c r="A271" s="75"/>
      <c r="B271" s="79">
        <v>0</v>
      </c>
      <c r="D271" s="75"/>
      <c r="E271" s="79">
        <v>0</v>
      </c>
      <c r="G271" s="75"/>
      <c r="H271" s="79">
        <v>0</v>
      </c>
    </row>
    <row r="272" spans="1:8" x14ac:dyDescent="0.2">
      <c r="A272" s="75"/>
      <c r="B272" s="79">
        <v>0</v>
      </c>
      <c r="D272" s="75"/>
      <c r="E272" s="79">
        <v>0</v>
      </c>
      <c r="G272" s="75"/>
      <c r="H272" s="79">
        <v>0</v>
      </c>
    </row>
    <row r="273" spans="1:8" x14ac:dyDescent="0.2">
      <c r="A273" s="75"/>
      <c r="B273" s="79">
        <v>0</v>
      </c>
      <c r="D273" s="75"/>
      <c r="E273" s="79">
        <v>0</v>
      </c>
      <c r="G273" s="75"/>
      <c r="H273" s="79">
        <v>0</v>
      </c>
    </row>
    <row r="274" spans="1:8" x14ac:dyDescent="0.2">
      <c r="A274" s="75"/>
      <c r="B274" s="79">
        <v>0</v>
      </c>
      <c r="D274" s="75"/>
      <c r="E274" s="79">
        <v>0</v>
      </c>
      <c r="G274" s="75"/>
      <c r="H274" s="79">
        <v>0</v>
      </c>
    </row>
    <row r="275" spans="1:8" x14ac:dyDescent="0.2">
      <c r="A275" s="75"/>
      <c r="B275" s="79">
        <v>0</v>
      </c>
      <c r="D275" s="75"/>
      <c r="E275" s="79">
        <v>0</v>
      </c>
      <c r="G275" s="75"/>
      <c r="H275" s="79">
        <v>0</v>
      </c>
    </row>
    <row r="276" spans="1:8" x14ac:dyDescent="0.2">
      <c r="A276" s="75"/>
      <c r="B276" s="79">
        <v>0</v>
      </c>
      <c r="D276" s="75"/>
      <c r="E276" s="79">
        <v>0</v>
      </c>
      <c r="G276" s="75"/>
      <c r="H276" s="79">
        <v>0</v>
      </c>
    </row>
    <row r="277" spans="1:8" x14ac:dyDescent="0.2">
      <c r="A277" s="75"/>
      <c r="B277" s="79">
        <v>0</v>
      </c>
      <c r="D277" s="75"/>
      <c r="E277" s="79">
        <v>0</v>
      </c>
      <c r="G277" s="75"/>
      <c r="H277" s="79">
        <v>0</v>
      </c>
    </row>
    <row r="278" spans="1:8" x14ac:dyDescent="0.2">
      <c r="A278" s="75"/>
      <c r="B278" s="79">
        <v>0</v>
      </c>
      <c r="D278" s="75"/>
      <c r="E278" s="79">
        <v>0</v>
      </c>
      <c r="G278" s="75"/>
      <c r="H278" s="79">
        <v>0</v>
      </c>
    </row>
    <row r="279" spans="1:8" x14ac:dyDescent="0.2">
      <c r="A279" s="75"/>
      <c r="B279" s="79">
        <v>0</v>
      </c>
      <c r="D279" s="75"/>
      <c r="E279" s="79">
        <v>0</v>
      </c>
      <c r="G279" s="75"/>
      <c r="H279" s="79">
        <v>0</v>
      </c>
    </row>
    <row r="280" spans="1:8" x14ac:dyDescent="0.2">
      <c r="A280" s="75"/>
      <c r="B280" s="79">
        <v>0</v>
      </c>
      <c r="D280" s="75"/>
      <c r="E280" s="79">
        <v>0</v>
      </c>
      <c r="G280" s="75"/>
      <c r="H280" s="79">
        <v>0</v>
      </c>
    </row>
    <row r="281" spans="1:8" x14ac:dyDescent="0.2">
      <c r="A281" s="75"/>
      <c r="B281" s="79">
        <v>0</v>
      </c>
      <c r="D281" s="75"/>
      <c r="E281" s="79">
        <v>0</v>
      </c>
      <c r="G281" s="75"/>
      <c r="H281" s="79">
        <v>0</v>
      </c>
    </row>
    <row r="282" spans="1:8" x14ac:dyDescent="0.2">
      <c r="A282" s="75"/>
      <c r="B282" s="79">
        <v>0</v>
      </c>
      <c r="D282" s="75"/>
      <c r="E282" s="79">
        <v>0</v>
      </c>
      <c r="G282" s="75"/>
      <c r="H282" s="79">
        <v>0</v>
      </c>
    </row>
    <row r="283" spans="1:8" x14ac:dyDescent="0.2">
      <c r="A283" s="75"/>
      <c r="B283" s="79">
        <v>0</v>
      </c>
      <c r="D283" s="75"/>
      <c r="E283" s="79">
        <v>0</v>
      </c>
      <c r="G283" s="75"/>
      <c r="H283" s="79">
        <v>0</v>
      </c>
    </row>
    <row r="284" spans="1:8" x14ac:dyDescent="0.2">
      <c r="A284" s="75"/>
      <c r="B284" s="79">
        <v>0</v>
      </c>
      <c r="D284" s="75"/>
      <c r="E284" s="79">
        <v>0</v>
      </c>
      <c r="G284" s="75"/>
      <c r="H284" s="79">
        <v>0</v>
      </c>
    </row>
    <row r="285" spans="1:8" x14ac:dyDescent="0.2">
      <c r="A285" s="75"/>
      <c r="B285" s="79">
        <v>0</v>
      </c>
      <c r="D285" s="75"/>
      <c r="E285" s="79">
        <v>0</v>
      </c>
      <c r="G285" s="75"/>
      <c r="H285" s="79">
        <v>0</v>
      </c>
    </row>
    <row r="286" spans="1:8" x14ac:dyDescent="0.2">
      <c r="A286" s="75"/>
      <c r="B286" s="79">
        <v>0</v>
      </c>
      <c r="D286" s="75"/>
      <c r="E286" s="79">
        <v>0</v>
      </c>
      <c r="G286" s="75"/>
      <c r="H286" s="79">
        <v>0</v>
      </c>
    </row>
    <row r="287" spans="1:8" x14ac:dyDescent="0.2">
      <c r="A287" s="75"/>
      <c r="B287" s="79">
        <v>0</v>
      </c>
      <c r="D287" s="75"/>
      <c r="E287" s="79">
        <v>0</v>
      </c>
      <c r="G287" s="75"/>
      <c r="H287" s="79">
        <v>0</v>
      </c>
    </row>
    <row r="288" spans="1:8" x14ac:dyDescent="0.2">
      <c r="A288" s="75"/>
      <c r="B288" s="79">
        <v>0</v>
      </c>
      <c r="D288" s="75"/>
      <c r="E288" s="79">
        <v>0</v>
      </c>
      <c r="G288" s="75"/>
      <c r="H288" s="79">
        <v>0</v>
      </c>
    </row>
    <row r="289" spans="1:8" x14ac:dyDescent="0.2">
      <c r="A289" s="75"/>
      <c r="B289" s="79">
        <v>0</v>
      </c>
      <c r="D289" s="75"/>
      <c r="E289" s="79">
        <v>0</v>
      </c>
      <c r="G289" s="75"/>
      <c r="H289" s="79">
        <v>0</v>
      </c>
    </row>
    <row r="290" spans="1:8" x14ac:dyDescent="0.2">
      <c r="A290" s="75"/>
      <c r="B290" s="79">
        <v>0</v>
      </c>
      <c r="D290" s="75"/>
      <c r="E290" s="79">
        <v>0</v>
      </c>
      <c r="G290" s="75"/>
      <c r="H290" s="79">
        <v>0</v>
      </c>
    </row>
    <row r="291" spans="1:8" x14ac:dyDescent="0.2">
      <c r="A291" s="75"/>
      <c r="B291" s="79">
        <v>0</v>
      </c>
      <c r="D291" s="75"/>
      <c r="E291" s="79">
        <v>0</v>
      </c>
      <c r="G291" s="75"/>
      <c r="H291" s="79">
        <v>0</v>
      </c>
    </row>
    <row r="292" spans="1:8" x14ac:dyDescent="0.2">
      <c r="A292" s="75"/>
      <c r="B292" s="79">
        <v>0</v>
      </c>
      <c r="D292" s="75"/>
      <c r="E292" s="79">
        <v>0</v>
      </c>
      <c r="G292" s="75"/>
      <c r="H292" s="79">
        <v>0</v>
      </c>
    </row>
    <row r="293" spans="1:8" x14ac:dyDescent="0.2">
      <c r="A293" s="75"/>
      <c r="B293" s="79">
        <v>0</v>
      </c>
      <c r="D293" s="75"/>
      <c r="E293" s="79">
        <v>0</v>
      </c>
      <c r="G293" s="75"/>
      <c r="H293" s="79">
        <v>0</v>
      </c>
    </row>
    <row r="294" spans="1:8" x14ac:dyDescent="0.2">
      <c r="A294" s="75"/>
      <c r="B294" s="79">
        <v>0</v>
      </c>
      <c r="D294" s="75"/>
      <c r="E294" s="79">
        <v>0</v>
      </c>
      <c r="G294" s="75"/>
      <c r="H294" s="79">
        <v>0</v>
      </c>
    </row>
    <row r="295" spans="1:8" x14ac:dyDescent="0.2">
      <c r="A295" s="75"/>
      <c r="B295" s="79">
        <v>0</v>
      </c>
      <c r="D295" s="75"/>
      <c r="E295" s="79">
        <v>0</v>
      </c>
      <c r="G295" s="75"/>
      <c r="H295" s="79">
        <v>0</v>
      </c>
    </row>
    <row r="296" spans="1:8" x14ac:dyDescent="0.2">
      <c r="A296" s="75"/>
      <c r="B296" s="79">
        <v>0</v>
      </c>
      <c r="D296" s="75"/>
      <c r="E296" s="79">
        <v>0</v>
      </c>
      <c r="G296" s="75"/>
      <c r="H296" s="79">
        <v>0</v>
      </c>
    </row>
    <row r="297" spans="1:8" x14ac:dyDescent="0.2">
      <c r="A297" s="75"/>
      <c r="B297" s="79">
        <v>0</v>
      </c>
      <c r="D297" s="75"/>
      <c r="E297" s="79">
        <v>0</v>
      </c>
      <c r="G297" s="75"/>
      <c r="H297" s="79">
        <v>0</v>
      </c>
    </row>
    <row r="298" spans="1:8" x14ac:dyDescent="0.2">
      <c r="A298" s="75"/>
      <c r="B298" s="79">
        <v>0</v>
      </c>
      <c r="D298" s="75"/>
      <c r="E298" s="79">
        <v>0</v>
      </c>
      <c r="G298" s="75"/>
      <c r="H298" s="79">
        <v>0</v>
      </c>
    </row>
    <row r="299" spans="1:8" x14ac:dyDescent="0.2">
      <c r="A299" s="75"/>
      <c r="B299" s="79">
        <v>0</v>
      </c>
      <c r="D299" s="75"/>
      <c r="E299" s="79">
        <v>0</v>
      </c>
      <c r="G299" s="75"/>
      <c r="H299" s="79">
        <v>0</v>
      </c>
    </row>
    <row r="300" spans="1:8" x14ac:dyDescent="0.2">
      <c r="A300" s="75"/>
      <c r="B300" s="79">
        <v>0</v>
      </c>
      <c r="D300" s="75"/>
      <c r="E300" s="79">
        <v>0</v>
      </c>
      <c r="G300" s="75"/>
      <c r="H300" s="79">
        <v>0</v>
      </c>
    </row>
    <row r="301" spans="1:8" x14ac:dyDescent="0.2">
      <c r="A301" s="75"/>
      <c r="B301" s="79">
        <v>0</v>
      </c>
      <c r="D301" s="75"/>
      <c r="E301" s="79">
        <v>0</v>
      </c>
      <c r="G301" s="75"/>
      <c r="H301" s="79">
        <v>0</v>
      </c>
    </row>
    <row r="302" spans="1:8" x14ac:dyDescent="0.2">
      <c r="A302" s="75"/>
      <c r="B302" s="79">
        <v>0</v>
      </c>
      <c r="D302" s="75"/>
      <c r="E302" s="79">
        <v>0</v>
      </c>
      <c r="G302" s="75"/>
      <c r="H302" s="79">
        <v>0</v>
      </c>
    </row>
    <row r="303" spans="1:8" x14ac:dyDescent="0.2">
      <c r="A303" s="75"/>
      <c r="B303" s="79">
        <v>0</v>
      </c>
      <c r="D303" s="75"/>
      <c r="E303" s="79">
        <v>0</v>
      </c>
      <c r="G303" s="75"/>
      <c r="H303" s="79">
        <v>0</v>
      </c>
    </row>
    <row r="304" spans="1:8" x14ac:dyDescent="0.2">
      <c r="A304" s="75"/>
      <c r="B304" s="79">
        <v>0</v>
      </c>
      <c r="D304" s="75"/>
      <c r="E304" s="79">
        <v>0</v>
      </c>
      <c r="G304" s="75"/>
      <c r="H304" s="79">
        <v>0</v>
      </c>
    </row>
    <row r="305" spans="1:8" x14ac:dyDescent="0.2">
      <c r="A305" s="75"/>
      <c r="B305" s="79">
        <v>0</v>
      </c>
      <c r="D305" s="75"/>
      <c r="E305" s="79">
        <v>0</v>
      </c>
      <c r="G305" s="75"/>
      <c r="H305" s="79">
        <v>0</v>
      </c>
    </row>
    <row r="306" spans="1:8" x14ac:dyDescent="0.2">
      <c r="A306" s="75"/>
      <c r="B306" s="79">
        <v>0</v>
      </c>
      <c r="D306" s="75"/>
      <c r="E306" s="79">
        <v>0</v>
      </c>
      <c r="G306" s="75"/>
      <c r="H306" s="79">
        <v>0</v>
      </c>
    </row>
    <row r="307" spans="1:8" x14ac:dyDescent="0.2">
      <c r="A307" s="75"/>
      <c r="B307" s="79">
        <v>0</v>
      </c>
      <c r="D307" s="75"/>
      <c r="E307" s="79">
        <v>0</v>
      </c>
      <c r="G307" s="75"/>
      <c r="H307" s="79">
        <v>0</v>
      </c>
    </row>
    <row r="308" spans="1:8" x14ac:dyDescent="0.2">
      <c r="A308" s="75"/>
      <c r="B308" s="79">
        <v>0</v>
      </c>
      <c r="D308" s="75"/>
      <c r="E308" s="79">
        <v>0</v>
      </c>
      <c r="G308" s="75"/>
      <c r="H308" s="79">
        <v>0</v>
      </c>
    </row>
    <row r="309" spans="1:8" x14ac:dyDescent="0.2">
      <c r="A309" s="75"/>
      <c r="B309" s="79">
        <v>0</v>
      </c>
      <c r="D309" s="75"/>
      <c r="E309" s="79">
        <v>0</v>
      </c>
      <c r="G309" s="75"/>
      <c r="H309" s="79">
        <v>0</v>
      </c>
    </row>
    <row r="310" spans="1:8" x14ac:dyDescent="0.2">
      <c r="A310" s="75"/>
      <c r="B310" s="79">
        <v>0</v>
      </c>
      <c r="D310" s="75"/>
      <c r="E310" s="79">
        <v>0</v>
      </c>
      <c r="G310" s="75"/>
      <c r="H310" s="79">
        <v>0</v>
      </c>
    </row>
    <row r="311" spans="1:8" x14ac:dyDescent="0.2">
      <c r="A311" s="75"/>
      <c r="B311" s="79">
        <v>0</v>
      </c>
      <c r="D311" s="75"/>
      <c r="E311" s="79">
        <v>0</v>
      </c>
      <c r="G311" s="75"/>
      <c r="H311" s="79">
        <v>0</v>
      </c>
    </row>
    <row r="312" spans="1:8" x14ac:dyDescent="0.2">
      <c r="A312" s="75"/>
      <c r="B312" s="79">
        <v>0</v>
      </c>
      <c r="D312" s="75"/>
      <c r="E312" s="79">
        <v>0</v>
      </c>
      <c r="G312" s="75"/>
      <c r="H312" s="79">
        <v>0</v>
      </c>
    </row>
    <row r="313" spans="1:8" x14ac:dyDescent="0.2">
      <c r="A313" s="75"/>
      <c r="B313" s="79">
        <v>0</v>
      </c>
      <c r="D313" s="75"/>
      <c r="E313" s="79">
        <v>0</v>
      </c>
      <c r="G313" s="75"/>
      <c r="H313" s="79">
        <v>0</v>
      </c>
    </row>
    <row r="314" spans="1:8" x14ac:dyDescent="0.2">
      <c r="A314" s="75"/>
      <c r="B314" s="79">
        <v>0</v>
      </c>
      <c r="D314" s="75"/>
      <c r="E314" s="79">
        <v>0</v>
      </c>
      <c r="G314" s="75"/>
      <c r="H314" s="79">
        <v>0</v>
      </c>
    </row>
    <row r="315" spans="1:8" x14ac:dyDescent="0.2">
      <c r="A315" s="75"/>
      <c r="B315" s="79">
        <v>0</v>
      </c>
      <c r="D315" s="75"/>
      <c r="E315" s="79">
        <v>0</v>
      </c>
      <c r="G315" s="75"/>
      <c r="H315" s="79">
        <v>0</v>
      </c>
    </row>
    <row r="316" spans="1:8" x14ac:dyDescent="0.2">
      <c r="A316" s="75"/>
      <c r="B316" s="79">
        <v>0</v>
      </c>
      <c r="D316" s="75"/>
      <c r="E316" s="79">
        <v>0</v>
      </c>
      <c r="G316" s="75"/>
      <c r="H316" s="79">
        <v>0</v>
      </c>
    </row>
    <row r="317" spans="1:8" x14ac:dyDescent="0.2">
      <c r="A317" s="75"/>
      <c r="B317" s="79">
        <v>0</v>
      </c>
      <c r="D317" s="75"/>
      <c r="E317" s="79">
        <v>0</v>
      </c>
      <c r="G317" s="75"/>
      <c r="H317" s="79">
        <v>0</v>
      </c>
    </row>
    <row r="318" spans="1:8" x14ac:dyDescent="0.2">
      <c r="A318" s="75"/>
      <c r="B318" s="79">
        <v>0</v>
      </c>
      <c r="D318" s="75"/>
      <c r="E318" s="79">
        <v>0</v>
      </c>
      <c r="G318" s="75"/>
      <c r="H318" s="79">
        <v>0</v>
      </c>
    </row>
    <row r="319" spans="1:8" x14ac:dyDescent="0.2">
      <c r="A319" s="75"/>
      <c r="B319" s="79">
        <v>0</v>
      </c>
      <c r="D319" s="75"/>
      <c r="E319" s="79">
        <v>0</v>
      </c>
      <c r="G319" s="75"/>
      <c r="H319" s="79">
        <v>0</v>
      </c>
    </row>
    <row r="320" spans="1:8" x14ac:dyDescent="0.2">
      <c r="A320" s="75"/>
      <c r="B320" s="79">
        <v>0</v>
      </c>
      <c r="D320" s="75"/>
      <c r="E320" s="79">
        <v>0</v>
      </c>
      <c r="G320" s="75"/>
      <c r="H320" s="79">
        <v>0</v>
      </c>
    </row>
    <row r="321" spans="1:8" x14ac:dyDescent="0.2">
      <c r="A321" s="75"/>
      <c r="B321" s="79">
        <v>0</v>
      </c>
      <c r="D321" s="75"/>
      <c r="E321" s="79">
        <v>0</v>
      </c>
      <c r="G321" s="75"/>
      <c r="H321" s="79">
        <v>0</v>
      </c>
    </row>
    <row r="322" spans="1:8" x14ac:dyDescent="0.2">
      <c r="A322" s="75"/>
      <c r="B322" s="79">
        <v>0</v>
      </c>
      <c r="D322" s="75"/>
      <c r="E322" s="79">
        <v>0</v>
      </c>
      <c r="G322" s="75"/>
      <c r="H322" s="79">
        <v>0</v>
      </c>
    </row>
    <row r="323" spans="1:8" x14ac:dyDescent="0.2">
      <c r="A323" s="75"/>
      <c r="B323" s="79">
        <v>0</v>
      </c>
      <c r="D323" s="75"/>
      <c r="E323" s="79">
        <v>0</v>
      </c>
      <c r="G323" s="75"/>
      <c r="H323" s="79">
        <v>0</v>
      </c>
    </row>
    <row r="324" spans="1:8" x14ac:dyDescent="0.2">
      <c r="A324" s="75"/>
      <c r="B324" s="79">
        <v>0</v>
      </c>
      <c r="D324" s="75"/>
      <c r="E324" s="79">
        <v>0</v>
      </c>
      <c r="G324" s="75"/>
      <c r="H324" s="79">
        <v>0</v>
      </c>
    </row>
    <row r="325" spans="1:8" x14ac:dyDescent="0.2">
      <c r="A325" s="75"/>
      <c r="B325" s="79">
        <v>0</v>
      </c>
      <c r="D325" s="75"/>
      <c r="E325" s="79">
        <v>0</v>
      </c>
      <c r="G325" s="75"/>
      <c r="H325" s="79">
        <v>0</v>
      </c>
    </row>
    <row r="326" spans="1:8" x14ac:dyDescent="0.2">
      <c r="A326" s="75"/>
      <c r="B326" s="79">
        <v>0</v>
      </c>
      <c r="D326" s="75"/>
      <c r="E326" s="79">
        <v>0</v>
      </c>
      <c r="G326" s="75"/>
      <c r="H326" s="79">
        <v>0</v>
      </c>
    </row>
    <row r="327" spans="1:8" x14ac:dyDescent="0.2">
      <c r="A327" s="75"/>
      <c r="B327" s="79">
        <v>0</v>
      </c>
      <c r="D327" s="75"/>
      <c r="E327" s="79">
        <v>0</v>
      </c>
      <c r="G327" s="75"/>
      <c r="H327" s="79">
        <v>0</v>
      </c>
    </row>
    <row r="328" spans="1:8" x14ac:dyDescent="0.2">
      <c r="A328" s="75"/>
      <c r="B328" s="79">
        <v>0</v>
      </c>
      <c r="D328" s="75"/>
      <c r="E328" s="79">
        <v>0</v>
      </c>
      <c r="G328" s="75"/>
      <c r="H328" s="79">
        <v>0</v>
      </c>
    </row>
    <row r="329" spans="1:8" x14ac:dyDescent="0.2">
      <c r="A329" s="75"/>
      <c r="B329" s="79">
        <v>0</v>
      </c>
      <c r="D329" s="75"/>
      <c r="E329" s="79">
        <v>0</v>
      </c>
      <c r="G329" s="75"/>
      <c r="H329" s="79">
        <v>0</v>
      </c>
    </row>
    <row r="330" spans="1:8" x14ac:dyDescent="0.2">
      <c r="A330" s="75"/>
      <c r="B330" s="79">
        <v>0</v>
      </c>
      <c r="D330" s="75"/>
      <c r="E330" s="79">
        <v>0</v>
      </c>
      <c r="G330" s="75"/>
      <c r="H330" s="79">
        <v>0</v>
      </c>
    </row>
    <row r="331" spans="1:8" x14ac:dyDescent="0.2">
      <c r="A331" s="75"/>
      <c r="B331" s="79">
        <v>0</v>
      </c>
      <c r="D331" s="75"/>
      <c r="E331" s="79">
        <v>0</v>
      </c>
      <c r="G331" s="75"/>
      <c r="H331" s="79">
        <v>0</v>
      </c>
    </row>
    <row r="332" spans="1:8" x14ac:dyDescent="0.2">
      <c r="A332" s="75"/>
      <c r="B332" s="79">
        <v>0</v>
      </c>
      <c r="D332" s="75"/>
      <c r="E332" s="79">
        <v>0</v>
      </c>
      <c r="G332" s="75"/>
      <c r="H332" s="79">
        <v>0</v>
      </c>
    </row>
    <row r="333" spans="1:8" x14ac:dyDescent="0.2">
      <c r="A333" s="75"/>
      <c r="B333" s="79">
        <v>0</v>
      </c>
      <c r="D333" s="75"/>
      <c r="E333" s="79">
        <v>0</v>
      </c>
      <c r="G333" s="75"/>
      <c r="H333" s="79">
        <v>0</v>
      </c>
    </row>
    <row r="334" spans="1:8" x14ac:dyDescent="0.2">
      <c r="A334" s="75"/>
      <c r="B334" s="79">
        <v>0</v>
      </c>
      <c r="D334" s="75"/>
      <c r="E334" s="79">
        <v>0</v>
      </c>
      <c r="G334" s="75"/>
      <c r="H334" s="79">
        <v>0</v>
      </c>
    </row>
    <row r="335" spans="1:8" x14ac:dyDescent="0.2">
      <c r="A335" s="75"/>
      <c r="B335" s="79">
        <v>0</v>
      </c>
      <c r="D335" s="75"/>
      <c r="E335" s="79">
        <v>0</v>
      </c>
      <c r="G335" s="75"/>
      <c r="H335" s="79">
        <v>0</v>
      </c>
    </row>
    <row r="336" spans="1:8" x14ac:dyDescent="0.2">
      <c r="A336" s="75"/>
      <c r="B336" s="79">
        <v>0</v>
      </c>
      <c r="D336" s="75"/>
      <c r="E336" s="79">
        <v>0</v>
      </c>
      <c r="G336" s="75"/>
      <c r="H336" s="79">
        <v>0</v>
      </c>
    </row>
    <row r="337" spans="1:8" x14ac:dyDescent="0.2">
      <c r="A337" s="75"/>
      <c r="B337" s="79">
        <v>0</v>
      </c>
      <c r="D337" s="75"/>
      <c r="E337" s="79">
        <v>0</v>
      </c>
      <c r="G337" s="75"/>
      <c r="H337" s="79">
        <v>0</v>
      </c>
    </row>
    <row r="338" spans="1:8" x14ac:dyDescent="0.2">
      <c r="A338" s="75"/>
      <c r="B338" s="79">
        <v>0</v>
      </c>
      <c r="D338" s="75"/>
      <c r="E338" s="79">
        <v>0</v>
      </c>
      <c r="G338" s="75"/>
      <c r="H338" s="79">
        <v>0</v>
      </c>
    </row>
    <row r="339" spans="1:8" x14ac:dyDescent="0.2">
      <c r="A339" s="75"/>
      <c r="B339" s="79">
        <v>0</v>
      </c>
      <c r="D339" s="75"/>
      <c r="E339" s="79">
        <v>0</v>
      </c>
      <c r="G339" s="75"/>
      <c r="H339" s="79">
        <v>0</v>
      </c>
    </row>
    <row r="340" spans="1:8" x14ac:dyDescent="0.2">
      <c r="A340" s="75"/>
      <c r="B340" s="79">
        <v>0</v>
      </c>
      <c r="D340" s="75"/>
      <c r="E340" s="79">
        <v>0</v>
      </c>
      <c r="G340" s="75"/>
      <c r="H340" s="79">
        <v>0</v>
      </c>
    </row>
    <row r="341" spans="1:8" x14ac:dyDescent="0.2">
      <c r="A341" s="75"/>
      <c r="B341" s="79">
        <v>0</v>
      </c>
      <c r="D341" s="75"/>
      <c r="E341" s="79">
        <v>0</v>
      </c>
      <c r="G341" s="75"/>
      <c r="H341" s="79">
        <v>0</v>
      </c>
    </row>
    <row r="342" spans="1:8" x14ac:dyDescent="0.2">
      <c r="A342" s="75"/>
      <c r="B342" s="79">
        <v>0</v>
      </c>
      <c r="D342" s="75"/>
      <c r="E342" s="79">
        <v>0</v>
      </c>
      <c r="G342" s="75"/>
      <c r="H342" s="79">
        <v>0</v>
      </c>
    </row>
    <row r="343" spans="1:8" x14ac:dyDescent="0.2">
      <c r="A343" s="75"/>
      <c r="B343" s="79">
        <v>0</v>
      </c>
      <c r="D343" s="75"/>
      <c r="E343" s="79">
        <v>0</v>
      </c>
      <c r="G343" s="75"/>
      <c r="H343" s="79">
        <v>0</v>
      </c>
    </row>
    <row r="344" spans="1:8" x14ac:dyDescent="0.2">
      <c r="A344" s="75"/>
      <c r="B344" s="79">
        <v>0</v>
      </c>
      <c r="D344" s="75"/>
      <c r="E344" s="79">
        <v>0</v>
      </c>
      <c r="G344" s="75"/>
      <c r="H344" s="79">
        <v>0</v>
      </c>
    </row>
    <row r="345" spans="1:8" x14ac:dyDescent="0.2">
      <c r="A345" s="75"/>
      <c r="B345" s="79">
        <v>0</v>
      </c>
      <c r="D345" s="75"/>
      <c r="E345" s="79">
        <v>0</v>
      </c>
      <c r="G345" s="75"/>
      <c r="H345" s="79">
        <v>0</v>
      </c>
    </row>
    <row r="346" spans="1:8" x14ac:dyDescent="0.2">
      <c r="A346" s="75"/>
      <c r="B346" s="79">
        <v>0</v>
      </c>
      <c r="D346" s="75"/>
      <c r="E346" s="79">
        <v>0</v>
      </c>
      <c r="G346" s="75"/>
      <c r="H346" s="79">
        <v>0</v>
      </c>
    </row>
    <row r="347" spans="1:8" x14ac:dyDescent="0.2">
      <c r="A347" s="75"/>
      <c r="B347" s="79">
        <v>0</v>
      </c>
      <c r="D347" s="75"/>
      <c r="E347" s="79">
        <v>0</v>
      </c>
      <c r="G347" s="75"/>
      <c r="H347" s="79">
        <v>0</v>
      </c>
    </row>
    <row r="348" spans="1:8" x14ac:dyDescent="0.2">
      <c r="A348" s="75"/>
      <c r="B348" s="79">
        <v>0</v>
      </c>
      <c r="D348" s="75"/>
      <c r="E348" s="79">
        <v>0</v>
      </c>
      <c r="G348" s="75"/>
      <c r="H348" s="79">
        <v>0</v>
      </c>
    </row>
    <row r="349" spans="1:8" x14ac:dyDescent="0.2">
      <c r="A349" s="75"/>
      <c r="B349" s="79">
        <v>0</v>
      </c>
      <c r="D349" s="75"/>
      <c r="E349" s="79">
        <v>0</v>
      </c>
      <c r="G349" s="75"/>
      <c r="H349" s="79">
        <v>0</v>
      </c>
    </row>
    <row r="350" spans="1:8" x14ac:dyDescent="0.2">
      <c r="A350" s="75"/>
      <c r="B350" s="79">
        <v>0</v>
      </c>
      <c r="D350" s="75"/>
      <c r="E350" s="79">
        <v>0</v>
      </c>
      <c r="G350" s="75"/>
      <c r="H350" s="79">
        <v>0</v>
      </c>
    </row>
    <row r="351" spans="1:8" x14ac:dyDescent="0.2">
      <c r="A351" s="75"/>
      <c r="B351" s="79">
        <v>0</v>
      </c>
      <c r="D351" s="75"/>
      <c r="E351" s="79">
        <v>0</v>
      </c>
      <c r="G351" s="75"/>
      <c r="H351" s="79">
        <v>0</v>
      </c>
    </row>
    <row r="352" spans="1:8" x14ac:dyDescent="0.2">
      <c r="A352" s="75"/>
      <c r="B352" s="79">
        <v>0</v>
      </c>
      <c r="D352" s="75"/>
      <c r="E352" s="79">
        <v>0</v>
      </c>
      <c r="G352" s="75"/>
      <c r="H352" s="79">
        <v>0</v>
      </c>
    </row>
    <row r="353" spans="1:8" x14ac:dyDescent="0.2">
      <c r="A353" s="75"/>
      <c r="B353" s="79">
        <v>0</v>
      </c>
      <c r="D353" s="75"/>
      <c r="E353" s="79">
        <v>0</v>
      </c>
      <c r="G353" s="75"/>
      <c r="H353" s="79">
        <v>0</v>
      </c>
    </row>
    <row r="354" spans="1:8" x14ac:dyDescent="0.2">
      <c r="A354" s="75"/>
      <c r="B354" s="79">
        <v>0</v>
      </c>
      <c r="D354" s="75"/>
      <c r="E354" s="79">
        <v>0</v>
      </c>
      <c r="G354" s="75"/>
      <c r="H354" s="79">
        <v>0</v>
      </c>
    </row>
    <row r="355" spans="1:8" x14ac:dyDescent="0.2">
      <c r="A355" s="75"/>
      <c r="B355" s="79">
        <v>0</v>
      </c>
      <c r="D355" s="75"/>
      <c r="E355" s="79">
        <v>0</v>
      </c>
      <c r="G355" s="75"/>
      <c r="H355" s="79">
        <v>0</v>
      </c>
    </row>
    <row r="356" spans="1:8" x14ac:dyDescent="0.2">
      <c r="A356" s="75"/>
      <c r="B356" s="79">
        <v>0</v>
      </c>
      <c r="D356" s="75"/>
      <c r="E356" s="79">
        <v>0</v>
      </c>
      <c r="G356" s="75"/>
      <c r="H356" s="79">
        <v>0</v>
      </c>
    </row>
    <row r="357" spans="1:8" x14ac:dyDescent="0.2">
      <c r="A357" s="75"/>
      <c r="B357" s="79">
        <v>0</v>
      </c>
      <c r="D357" s="75"/>
      <c r="E357" s="79">
        <v>0</v>
      </c>
      <c r="G357" s="75"/>
      <c r="H357" s="79">
        <v>0</v>
      </c>
    </row>
    <row r="358" spans="1:8" x14ac:dyDescent="0.2">
      <c r="A358" s="75"/>
      <c r="B358" s="79">
        <v>0</v>
      </c>
      <c r="D358" s="75"/>
      <c r="E358" s="79">
        <v>0</v>
      </c>
      <c r="G358" s="75"/>
      <c r="H358" s="79">
        <v>0</v>
      </c>
    </row>
    <row r="359" spans="1:8" x14ac:dyDescent="0.2">
      <c r="A359" s="75"/>
      <c r="B359" s="79">
        <v>0</v>
      </c>
      <c r="D359" s="75"/>
      <c r="E359" s="79">
        <v>0</v>
      </c>
      <c r="G359" s="75"/>
      <c r="H359" s="79">
        <v>0</v>
      </c>
    </row>
    <row r="360" spans="1:8" x14ac:dyDescent="0.2">
      <c r="A360" s="75"/>
      <c r="B360" s="79">
        <v>0</v>
      </c>
      <c r="D360" s="75"/>
      <c r="E360" s="79">
        <v>0</v>
      </c>
      <c r="G360" s="75"/>
      <c r="H360" s="79">
        <v>0</v>
      </c>
    </row>
    <row r="361" spans="1:8" x14ac:dyDescent="0.2">
      <c r="A361" s="75"/>
      <c r="B361" s="79">
        <v>0</v>
      </c>
      <c r="D361" s="75"/>
      <c r="E361" s="79">
        <v>0</v>
      </c>
      <c r="G361" s="75"/>
      <c r="H361" s="79">
        <v>0</v>
      </c>
    </row>
    <row r="362" spans="1:8" x14ac:dyDescent="0.2">
      <c r="A362" s="75"/>
      <c r="B362" s="79">
        <v>0</v>
      </c>
      <c r="D362" s="75"/>
      <c r="E362" s="79">
        <v>0</v>
      </c>
      <c r="G362" s="75"/>
      <c r="H362" s="79">
        <v>0</v>
      </c>
    </row>
    <row r="363" spans="1:8" x14ac:dyDescent="0.2">
      <c r="A363" s="75"/>
      <c r="B363" s="79">
        <v>0</v>
      </c>
      <c r="D363" s="75"/>
      <c r="E363" s="79">
        <v>0</v>
      </c>
      <c r="G363" s="75"/>
      <c r="H363" s="79">
        <v>0</v>
      </c>
    </row>
    <row r="364" spans="1:8" x14ac:dyDescent="0.2">
      <c r="A364" s="75"/>
      <c r="B364" s="79">
        <v>0</v>
      </c>
      <c r="D364" s="75"/>
      <c r="E364" s="79">
        <v>0</v>
      </c>
      <c r="G364" s="75"/>
      <c r="H364" s="79">
        <v>0</v>
      </c>
    </row>
    <row r="365" spans="1:8" x14ac:dyDescent="0.2">
      <c r="A365" s="75"/>
      <c r="B365" s="79">
        <v>0</v>
      </c>
      <c r="D365" s="75"/>
      <c r="E365" s="79">
        <v>0</v>
      </c>
      <c r="G365" s="75"/>
      <c r="H365" s="79">
        <v>0</v>
      </c>
    </row>
    <row r="366" spans="1:8" x14ac:dyDescent="0.2">
      <c r="A366" s="75"/>
      <c r="B366" s="79">
        <v>0</v>
      </c>
      <c r="D366" s="75"/>
      <c r="E366" s="79">
        <v>0</v>
      </c>
      <c r="G366" s="75"/>
      <c r="H366" s="79">
        <v>0</v>
      </c>
    </row>
    <row r="367" spans="1:8" x14ac:dyDescent="0.2">
      <c r="A367" s="75"/>
      <c r="B367" s="79">
        <v>0</v>
      </c>
      <c r="D367" s="75"/>
      <c r="E367" s="79">
        <v>0</v>
      </c>
      <c r="G367" s="75"/>
      <c r="H367" s="79">
        <v>0</v>
      </c>
    </row>
    <row r="368" spans="1:8" x14ac:dyDescent="0.2">
      <c r="A368" s="75"/>
      <c r="B368" s="79">
        <v>0</v>
      </c>
      <c r="D368" s="75"/>
      <c r="E368" s="79">
        <v>0</v>
      </c>
      <c r="G368" s="75"/>
      <c r="H368" s="79">
        <v>0</v>
      </c>
    </row>
    <row r="369" spans="1:8" x14ac:dyDescent="0.2">
      <c r="A369" s="75"/>
      <c r="B369" s="79">
        <v>0</v>
      </c>
      <c r="D369" s="75"/>
      <c r="E369" s="79">
        <v>0</v>
      </c>
      <c r="G369" s="75"/>
      <c r="H369" s="79">
        <v>0</v>
      </c>
    </row>
    <row r="370" spans="1:8" x14ac:dyDescent="0.2">
      <c r="A370" s="75"/>
      <c r="B370" s="79">
        <v>0</v>
      </c>
      <c r="D370" s="75"/>
      <c r="E370" s="79">
        <v>0</v>
      </c>
      <c r="G370" s="75"/>
      <c r="H370" s="79">
        <v>0</v>
      </c>
    </row>
    <row r="371" spans="1:8" x14ac:dyDescent="0.2">
      <c r="A371" s="75"/>
      <c r="B371" s="79">
        <v>0</v>
      </c>
      <c r="D371" s="75"/>
      <c r="E371" s="79">
        <v>0</v>
      </c>
      <c r="G371" s="75"/>
      <c r="H371" s="79">
        <v>0</v>
      </c>
    </row>
    <row r="372" spans="1:8" x14ac:dyDescent="0.2">
      <c r="A372" s="75"/>
      <c r="B372" s="79">
        <v>0</v>
      </c>
      <c r="D372" s="75"/>
      <c r="E372" s="79">
        <v>0</v>
      </c>
      <c r="G372" s="75"/>
      <c r="H372" s="79">
        <v>0</v>
      </c>
    </row>
    <row r="373" spans="1:8" x14ac:dyDescent="0.2">
      <c r="A373" s="75"/>
      <c r="B373" s="79">
        <v>0</v>
      </c>
      <c r="D373" s="75"/>
      <c r="E373" s="79">
        <v>0</v>
      </c>
      <c r="G373" s="75"/>
      <c r="H373" s="79">
        <v>0</v>
      </c>
    </row>
    <row r="374" spans="1:8" x14ac:dyDescent="0.2">
      <c r="A374" s="75"/>
      <c r="B374" s="79">
        <v>0</v>
      </c>
      <c r="D374" s="75"/>
      <c r="E374" s="79">
        <v>0</v>
      </c>
      <c r="G374" s="75"/>
      <c r="H374" s="79">
        <v>0</v>
      </c>
    </row>
    <row r="375" spans="1:8" x14ac:dyDescent="0.2">
      <c r="A375" s="75"/>
      <c r="B375" s="79">
        <v>0</v>
      </c>
      <c r="D375" s="75"/>
      <c r="E375" s="79">
        <v>0</v>
      </c>
      <c r="G375" s="75"/>
      <c r="H375" s="79">
        <v>0</v>
      </c>
    </row>
    <row r="376" spans="1:8" x14ac:dyDescent="0.2">
      <c r="A376" s="75"/>
      <c r="B376" s="79">
        <v>0</v>
      </c>
      <c r="D376" s="75"/>
      <c r="E376" s="79">
        <v>0</v>
      </c>
      <c r="G376" s="75"/>
      <c r="H376" s="79">
        <v>0</v>
      </c>
    </row>
    <row r="377" spans="1:8" x14ac:dyDescent="0.2">
      <c r="A377" s="75"/>
      <c r="B377" s="79">
        <v>0</v>
      </c>
      <c r="D377" s="75"/>
      <c r="E377" s="79">
        <v>0</v>
      </c>
      <c r="G377" s="75"/>
      <c r="H377" s="79">
        <v>0</v>
      </c>
    </row>
    <row r="378" spans="1:8" x14ac:dyDescent="0.2">
      <c r="A378" s="75"/>
      <c r="B378" s="79">
        <v>0</v>
      </c>
      <c r="D378" s="75"/>
      <c r="E378" s="79">
        <v>0</v>
      </c>
      <c r="G378" s="75"/>
      <c r="H378" s="79">
        <v>0</v>
      </c>
    </row>
    <row r="379" spans="1:8" x14ac:dyDescent="0.2">
      <c r="A379" s="75"/>
      <c r="B379" s="79">
        <v>0</v>
      </c>
      <c r="D379" s="75"/>
      <c r="E379" s="79">
        <v>0</v>
      </c>
      <c r="G379" s="75"/>
      <c r="H379" s="79">
        <v>0</v>
      </c>
    </row>
    <row r="380" spans="1:8" x14ac:dyDescent="0.2">
      <c r="A380" s="75"/>
      <c r="B380" s="79">
        <v>0</v>
      </c>
      <c r="D380" s="75"/>
      <c r="E380" s="79">
        <v>0</v>
      </c>
      <c r="G380" s="75"/>
      <c r="H380" s="79">
        <v>0</v>
      </c>
    </row>
    <row r="381" spans="1:8" x14ac:dyDescent="0.2">
      <c r="A381" s="75"/>
      <c r="B381" s="79">
        <v>0</v>
      </c>
      <c r="D381" s="75"/>
      <c r="E381" s="79">
        <v>0</v>
      </c>
      <c r="G381" s="75"/>
      <c r="H381" s="79">
        <v>0</v>
      </c>
    </row>
    <row r="382" spans="1:8" x14ac:dyDescent="0.2">
      <c r="A382" s="75"/>
      <c r="B382" s="79">
        <v>0</v>
      </c>
      <c r="D382" s="75"/>
      <c r="E382" s="79">
        <v>0</v>
      </c>
      <c r="G382" s="75"/>
      <c r="H382" s="79">
        <v>0</v>
      </c>
    </row>
    <row r="383" spans="1:8" x14ac:dyDescent="0.2">
      <c r="A383" s="75"/>
      <c r="B383" s="79">
        <v>0</v>
      </c>
      <c r="D383" s="75"/>
      <c r="E383" s="79">
        <v>0</v>
      </c>
      <c r="G383" s="75"/>
      <c r="H383" s="79">
        <v>0</v>
      </c>
    </row>
    <row r="384" spans="1:8" x14ac:dyDescent="0.2">
      <c r="A384" s="75"/>
      <c r="B384" s="79">
        <v>0</v>
      </c>
      <c r="D384" s="75"/>
      <c r="E384" s="79">
        <v>0</v>
      </c>
      <c r="G384" s="75"/>
      <c r="H384" s="79">
        <v>0</v>
      </c>
    </row>
    <row r="385" spans="1:8" x14ac:dyDescent="0.2">
      <c r="A385" s="75"/>
      <c r="B385" s="79">
        <v>0</v>
      </c>
      <c r="D385" s="75"/>
      <c r="E385" s="79">
        <v>0</v>
      </c>
      <c r="G385" s="75"/>
      <c r="H385" s="79">
        <v>0</v>
      </c>
    </row>
    <row r="386" spans="1:8" x14ac:dyDescent="0.2">
      <c r="A386" s="75"/>
      <c r="B386" s="79">
        <v>0</v>
      </c>
      <c r="D386" s="75"/>
      <c r="E386" s="79">
        <v>0</v>
      </c>
      <c r="G386" s="75"/>
      <c r="H386" s="79">
        <v>0</v>
      </c>
    </row>
    <row r="387" spans="1:8" x14ac:dyDescent="0.2">
      <c r="A387" s="75"/>
      <c r="B387" s="79">
        <v>0</v>
      </c>
      <c r="D387" s="75"/>
      <c r="E387" s="79">
        <v>0</v>
      </c>
      <c r="G387" s="75"/>
      <c r="H387" s="79">
        <v>0</v>
      </c>
    </row>
    <row r="388" spans="1:8" x14ac:dyDescent="0.2">
      <c r="A388" s="75"/>
      <c r="B388" s="79">
        <v>0</v>
      </c>
      <c r="D388" s="75"/>
      <c r="E388" s="79">
        <v>0</v>
      </c>
      <c r="G388" s="75"/>
      <c r="H388" s="79">
        <v>0</v>
      </c>
    </row>
    <row r="389" spans="1:8" x14ac:dyDescent="0.2">
      <c r="A389" s="75"/>
      <c r="B389" s="79">
        <v>0</v>
      </c>
      <c r="D389" s="75"/>
      <c r="E389" s="79">
        <v>0</v>
      </c>
      <c r="G389" s="75"/>
      <c r="H389" s="79">
        <v>0</v>
      </c>
    </row>
    <row r="390" spans="1:8" x14ac:dyDescent="0.2">
      <c r="A390" s="75"/>
      <c r="B390" s="79">
        <v>0</v>
      </c>
      <c r="D390" s="75"/>
      <c r="E390" s="79">
        <v>0</v>
      </c>
      <c r="G390" s="75"/>
      <c r="H390" s="79">
        <v>0</v>
      </c>
    </row>
    <row r="391" spans="1:8" x14ac:dyDescent="0.2">
      <c r="A391" s="75"/>
      <c r="B391" s="79">
        <v>0</v>
      </c>
      <c r="D391" s="75"/>
      <c r="E391" s="79">
        <v>0</v>
      </c>
      <c r="G391" s="75"/>
      <c r="H391" s="79">
        <v>0</v>
      </c>
    </row>
    <row r="392" spans="1:8" x14ac:dyDescent="0.2">
      <c r="A392" s="75"/>
      <c r="B392" s="79">
        <v>0</v>
      </c>
      <c r="D392" s="75"/>
      <c r="E392" s="79">
        <v>0</v>
      </c>
      <c r="G392" s="75"/>
      <c r="H392" s="79">
        <v>0</v>
      </c>
    </row>
    <row r="393" spans="1:8" x14ac:dyDescent="0.2">
      <c r="A393" s="75"/>
      <c r="B393" s="79">
        <v>0</v>
      </c>
      <c r="D393" s="75"/>
      <c r="E393" s="79">
        <v>0</v>
      </c>
      <c r="G393" s="75"/>
      <c r="H393" s="79">
        <v>0</v>
      </c>
    </row>
    <row r="394" spans="1:8" x14ac:dyDescent="0.2">
      <c r="A394" s="75"/>
      <c r="B394" s="79">
        <v>0</v>
      </c>
      <c r="D394" s="75"/>
      <c r="E394" s="79">
        <v>0</v>
      </c>
      <c r="G394" s="75"/>
      <c r="H394" s="79">
        <v>0</v>
      </c>
    </row>
    <row r="395" spans="1:8" x14ac:dyDescent="0.2">
      <c r="A395" s="75"/>
      <c r="B395" s="79">
        <v>0</v>
      </c>
      <c r="D395" s="75"/>
      <c r="E395" s="79">
        <v>0</v>
      </c>
      <c r="G395" s="75"/>
      <c r="H395" s="79">
        <v>0</v>
      </c>
    </row>
    <row r="396" spans="1:8" x14ac:dyDescent="0.2">
      <c r="A396" s="75"/>
      <c r="B396" s="79">
        <v>0</v>
      </c>
      <c r="D396" s="75"/>
      <c r="E396" s="79">
        <v>0</v>
      </c>
      <c r="G396" s="75"/>
      <c r="H396" s="79">
        <v>0</v>
      </c>
    </row>
    <row r="397" spans="1:8" x14ac:dyDescent="0.2">
      <c r="A397" s="75"/>
      <c r="B397" s="79">
        <v>0</v>
      </c>
      <c r="D397" s="75"/>
      <c r="E397" s="79">
        <v>0</v>
      </c>
      <c r="G397" s="75"/>
      <c r="H397" s="79">
        <v>0</v>
      </c>
    </row>
    <row r="398" spans="1:8" x14ac:dyDescent="0.2">
      <c r="A398" s="75"/>
      <c r="B398" s="79">
        <v>0</v>
      </c>
      <c r="D398" s="75"/>
      <c r="E398" s="79">
        <v>0</v>
      </c>
      <c r="G398" s="75"/>
      <c r="H398" s="79">
        <v>0</v>
      </c>
    </row>
    <row r="399" spans="1:8" x14ac:dyDescent="0.2">
      <c r="A399" s="75"/>
      <c r="B399" s="79">
        <v>0</v>
      </c>
      <c r="D399" s="75"/>
      <c r="E399" s="79">
        <v>0</v>
      </c>
      <c r="G399" s="75"/>
      <c r="H399" s="79">
        <v>0</v>
      </c>
    </row>
    <row r="400" spans="1:8" x14ac:dyDescent="0.2">
      <c r="A400" s="75"/>
      <c r="B400" s="79">
        <v>0</v>
      </c>
      <c r="D400" s="75"/>
      <c r="E400" s="79">
        <v>0</v>
      </c>
      <c r="G400" s="75"/>
      <c r="H400" s="79">
        <v>0</v>
      </c>
    </row>
    <row r="401" spans="1:8" x14ac:dyDescent="0.2">
      <c r="A401" s="75"/>
      <c r="B401" s="79">
        <v>0</v>
      </c>
      <c r="D401" s="75"/>
      <c r="E401" s="79">
        <v>0</v>
      </c>
      <c r="G401" s="75"/>
      <c r="H401" s="79">
        <v>0</v>
      </c>
    </row>
    <row r="402" spans="1:8" x14ac:dyDescent="0.2">
      <c r="A402" s="75"/>
      <c r="B402" s="79">
        <v>0</v>
      </c>
      <c r="D402" s="75"/>
      <c r="E402" s="79">
        <v>0</v>
      </c>
      <c r="G402" s="75"/>
      <c r="H402" s="79">
        <v>0</v>
      </c>
    </row>
    <row r="403" spans="1:8" x14ac:dyDescent="0.2">
      <c r="A403" s="75"/>
      <c r="B403" s="79">
        <v>0</v>
      </c>
      <c r="D403" s="75"/>
      <c r="E403" s="79">
        <v>0</v>
      </c>
      <c r="G403" s="75"/>
      <c r="H403" s="79">
        <v>0</v>
      </c>
    </row>
    <row r="404" spans="1:8" x14ac:dyDescent="0.2">
      <c r="A404" s="75"/>
      <c r="B404" s="79">
        <v>0</v>
      </c>
      <c r="D404" s="75"/>
      <c r="E404" s="79">
        <v>0</v>
      </c>
      <c r="G404" s="75"/>
      <c r="H404" s="79">
        <v>0</v>
      </c>
    </row>
    <row r="405" spans="1:8" x14ac:dyDescent="0.2">
      <c r="A405" s="75"/>
      <c r="B405" s="79">
        <v>0</v>
      </c>
      <c r="D405" s="75"/>
      <c r="E405" s="79">
        <v>0</v>
      </c>
      <c r="G405" s="75"/>
      <c r="H405" s="79">
        <v>0</v>
      </c>
    </row>
    <row r="406" spans="1:8" x14ac:dyDescent="0.2">
      <c r="A406" s="75"/>
      <c r="B406" s="79">
        <v>0</v>
      </c>
      <c r="D406" s="75"/>
      <c r="E406" s="79">
        <v>0</v>
      </c>
      <c r="G406" s="75"/>
      <c r="H406" s="79">
        <v>0</v>
      </c>
    </row>
    <row r="407" spans="1:8" x14ac:dyDescent="0.2">
      <c r="A407" s="75"/>
      <c r="B407" s="79">
        <v>0</v>
      </c>
      <c r="D407" s="75"/>
      <c r="E407" s="79">
        <v>0</v>
      </c>
      <c r="G407" s="75"/>
      <c r="H407" s="79">
        <v>0</v>
      </c>
    </row>
    <row r="408" spans="1:8" x14ac:dyDescent="0.2">
      <c r="A408" s="75"/>
      <c r="B408" s="79">
        <v>0</v>
      </c>
      <c r="D408" s="75"/>
      <c r="E408" s="79">
        <v>0</v>
      </c>
      <c r="G408" s="75"/>
      <c r="H408" s="79">
        <v>0</v>
      </c>
    </row>
    <row r="409" spans="1:8" x14ac:dyDescent="0.2">
      <c r="A409" s="75"/>
      <c r="B409" s="79">
        <v>0</v>
      </c>
      <c r="D409" s="75"/>
      <c r="E409" s="79">
        <v>0</v>
      </c>
      <c r="G409" s="75"/>
      <c r="H409" s="79">
        <v>0</v>
      </c>
    </row>
    <row r="410" spans="1:8" x14ac:dyDescent="0.2">
      <c r="A410" s="75"/>
      <c r="B410" s="79">
        <v>0</v>
      </c>
      <c r="D410" s="75"/>
      <c r="E410" s="79">
        <v>0</v>
      </c>
      <c r="G410" s="75"/>
      <c r="H410" s="79">
        <v>0</v>
      </c>
    </row>
    <row r="411" spans="1:8" x14ac:dyDescent="0.2">
      <c r="A411" s="75"/>
      <c r="B411" s="79">
        <v>0</v>
      </c>
      <c r="D411" s="75"/>
      <c r="E411" s="79">
        <v>0</v>
      </c>
      <c r="G411" s="75"/>
      <c r="H411" s="79">
        <v>0</v>
      </c>
    </row>
    <row r="412" spans="1:8" x14ac:dyDescent="0.2">
      <c r="A412" s="75"/>
      <c r="B412" s="79">
        <v>0</v>
      </c>
      <c r="D412" s="75"/>
      <c r="E412" s="79">
        <v>0</v>
      </c>
      <c r="G412" s="75"/>
      <c r="H412" s="79">
        <v>0</v>
      </c>
    </row>
    <row r="413" spans="1:8" x14ac:dyDescent="0.2">
      <c r="A413" s="75"/>
      <c r="B413" s="79">
        <v>0</v>
      </c>
      <c r="D413" s="75"/>
      <c r="E413" s="79">
        <v>0</v>
      </c>
      <c r="G413" s="75"/>
      <c r="H413" s="79">
        <v>0</v>
      </c>
    </row>
    <row r="414" spans="1:8" x14ac:dyDescent="0.2">
      <c r="A414" s="75"/>
      <c r="B414" s="79">
        <v>0</v>
      </c>
      <c r="D414" s="75"/>
      <c r="E414" s="79">
        <v>0</v>
      </c>
      <c r="G414" s="75"/>
      <c r="H414" s="79">
        <v>0</v>
      </c>
    </row>
    <row r="415" spans="1:8" x14ac:dyDescent="0.2">
      <c r="A415" s="75"/>
      <c r="B415" s="79">
        <v>0</v>
      </c>
      <c r="D415" s="75"/>
      <c r="E415" s="79">
        <v>0</v>
      </c>
      <c r="G415" s="75"/>
      <c r="H415" s="79">
        <v>0</v>
      </c>
    </row>
    <row r="416" spans="1:8" x14ac:dyDescent="0.2">
      <c r="A416" s="75"/>
      <c r="B416" s="79">
        <v>0</v>
      </c>
      <c r="D416" s="75"/>
      <c r="E416" s="79">
        <v>0</v>
      </c>
      <c r="G416" s="75"/>
      <c r="H416" s="79">
        <v>0</v>
      </c>
    </row>
    <row r="417" spans="1:8" x14ac:dyDescent="0.2">
      <c r="A417" s="75"/>
      <c r="B417" s="79">
        <v>0</v>
      </c>
      <c r="D417" s="75"/>
      <c r="E417" s="79">
        <v>0</v>
      </c>
      <c r="G417" s="75"/>
      <c r="H417" s="79">
        <v>0</v>
      </c>
    </row>
    <row r="418" spans="1:8" x14ac:dyDescent="0.2">
      <c r="A418" s="75"/>
      <c r="B418" s="79">
        <v>0</v>
      </c>
      <c r="D418" s="75"/>
      <c r="E418" s="79">
        <v>0</v>
      </c>
      <c r="G418" s="75"/>
      <c r="H418" s="79">
        <v>0</v>
      </c>
    </row>
    <row r="419" spans="1:8" x14ac:dyDescent="0.2">
      <c r="A419" s="75"/>
      <c r="B419" s="79">
        <v>0</v>
      </c>
      <c r="D419" s="75"/>
      <c r="E419" s="79">
        <v>0</v>
      </c>
      <c r="G419" s="75"/>
      <c r="H419" s="79">
        <v>0</v>
      </c>
    </row>
    <row r="420" spans="1:8" x14ac:dyDescent="0.2">
      <c r="A420" s="75"/>
      <c r="B420" s="79">
        <v>0</v>
      </c>
      <c r="D420" s="75"/>
      <c r="E420" s="79">
        <v>0</v>
      </c>
      <c r="G420" s="75"/>
      <c r="H420" s="79">
        <v>0</v>
      </c>
    </row>
    <row r="421" spans="1:8" x14ac:dyDescent="0.2">
      <c r="A421" s="75"/>
      <c r="B421" s="79">
        <v>0</v>
      </c>
      <c r="D421" s="75"/>
      <c r="E421" s="79">
        <v>0</v>
      </c>
      <c r="G421" s="75"/>
      <c r="H421" s="79">
        <v>0</v>
      </c>
    </row>
    <row r="422" spans="1:8" x14ac:dyDescent="0.2">
      <c r="A422" s="75"/>
      <c r="B422" s="79">
        <v>0</v>
      </c>
      <c r="D422" s="75"/>
      <c r="E422" s="79">
        <v>0</v>
      </c>
      <c r="G422" s="75"/>
      <c r="H422" s="79">
        <v>0</v>
      </c>
    </row>
    <row r="423" spans="1:8" x14ac:dyDescent="0.2">
      <c r="A423" s="75"/>
      <c r="B423" s="79">
        <v>0</v>
      </c>
      <c r="D423" s="75"/>
      <c r="E423" s="79">
        <v>0</v>
      </c>
      <c r="G423" s="75"/>
      <c r="H423" s="79">
        <v>0</v>
      </c>
    </row>
    <row r="424" spans="1:8" x14ac:dyDescent="0.2">
      <c r="A424" s="75"/>
      <c r="B424" s="79">
        <v>0</v>
      </c>
      <c r="D424" s="75"/>
      <c r="E424" s="79">
        <v>0</v>
      </c>
      <c r="G424" s="75"/>
      <c r="H424" s="79">
        <v>0</v>
      </c>
    </row>
    <row r="425" spans="1:8" x14ac:dyDescent="0.2">
      <c r="A425" s="75"/>
      <c r="B425" s="79">
        <v>0</v>
      </c>
      <c r="D425" s="75"/>
      <c r="E425" s="79">
        <v>0</v>
      </c>
      <c r="G425" s="75"/>
      <c r="H425" s="79">
        <v>0</v>
      </c>
    </row>
    <row r="426" spans="1:8" x14ac:dyDescent="0.2">
      <c r="A426" s="75"/>
      <c r="B426" s="79">
        <v>0</v>
      </c>
      <c r="D426" s="75"/>
      <c r="E426" s="79">
        <v>0</v>
      </c>
      <c r="G426" s="75"/>
      <c r="H426" s="79">
        <v>0</v>
      </c>
    </row>
    <row r="427" spans="1:8" x14ac:dyDescent="0.2">
      <c r="A427" s="75"/>
      <c r="B427" s="79">
        <v>0</v>
      </c>
      <c r="D427" s="75"/>
      <c r="E427" s="79">
        <v>0</v>
      </c>
      <c r="G427" s="75"/>
      <c r="H427" s="79">
        <v>0</v>
      </c>
    </row>
    <row r="428" spans="1:8" x14ac:dyDescent="0.2">
      <c r="A428" s="75"/>
      <c r="B428" s="79">
        <v>0</v>
      </c>
      <c r="D428" s="75"/>
      <c r="E428" s="79">
        <v>0</v>
      </c>
      <c r="G428" s="75"/>
      <c r="H428" s="79">
        <v>0</v>
      </c>
    </row>
    <row r="429" spans="1:8" x14ac:dyDescent="0.2">
      <c r="A429" s="75"/>
      <c r="B429" s="79">
        <v>0</v>
      </c>
      <c r="D429" s="75"/>
      <c r="E429" s="79">
        <v>0</v>
      </c>
      <c r="G429" s="75"/>
      <c r="H429" s="79">
        <v>0</v>
      </c>
    </row>
    <row r="430" spans="1:8" x14ac:dyDescent="0.2">
      <c r="A430" s="75"/>
      <c r="B430" s="79">
        <v>0</v>
      </c>
      <c r="D430" s="75"/>
      <c r="E430" s="79">
        <v>0</v>
      </c>
      <c r="G430" s="75"/>
      <c r="H430" s="79">
        <v>0</v>
      </c>
    </row>
    <row r="431" spans="1:8" x14ac:dyDescent="0.2">
      <c r="A431" s="75"/>
      <c r="B431" s="79">
        <v>0</v>
      </c>
      <c r="D431" s="75"/>
      <c r="E431" s="79">
        <v>0</v>
      </c>
      <c r="G431" s="75"/>
      <c r="H431" s="79">
        <v>0</v>
      </c>
    </row>
    <row r="432" spans="1:8" x14ac:dyDescent="0.2">
      <c r="A432" s="75"/>
      <c r="B432" s="79">
        <v>0</v>
      </c>
      <c r="D432" s="75"/>
      <c r="E432" s="79">
        <v>0</v>
      </c>
      <c r="G432" s="75"/>
      <c r="H432" s="79">
        <v>0</v>
      </c>
    </row>
    <row r="433" spans="1:8" x14ac:dyDescent="0.2">
      <c r="A433" s="75"/>
      <c r="B433" s="79">
        <v>0</v>
      </c>
      <c r="D433" s="75"/>
      <c r="E433" s="79">
        <v>0</v>
      </c>
      <c r="G433" s="75"/>
      <c r="H433" s="79">
        <v>0</v>
      </c>
    </row>
    <row r="434" spans="1:8" x14ac:dyDescent="0.2">
      <c r="A434" s="75"/>
      <c r="B434" s="79">
        <v>0</v>
      </c>
      <c r="D434" s="75"/>
      <c r="E434" s="79">
        <v>0</v>
      </c>
      <c r="G434" s="75"/>
      <c r="H434" s="79">
        <v>0</v>
      </c>
    </row>
    <row r="435" spans="1:8" x14ac:dyDescent="0.2">
      <c r="A435" s="75"/>
      <c r="B435" s="79">
        <v>0</v>
      </c>
      <c r="D435" s="75"/>
      <c r="E435" s="79">
        <v>0</v>
      </c>
      <c r="G435" s="75"/>
      <c r="H435" s="79">
        <v>0</v>
      </c>
    </row>
    <row r="436" spans="1:8" x14ac:dyDescent="0.2">
      <c r="A436" s="75"/>
      <c r="B436" s="79">
        <v>0</v>
      </c>
      <c r="D436" s="75"/>
      <c r="E436" s="79">
        <v>0</v>
      </c>
      <c r="G436" s="75"/>
      <c r="H436" s="79">
        <v>0</v>
      </c>
    </row>
    <row r="437" spans="1:8" x14ac:dyDescent="0.2">
      <c r="A437" s="75"/>
      <c r="B437" s="79">
        <v>0</v>
      </c>
      <c r="D437" s="75"/>
      <c r="E437" s="79">
        <v>0</v>
      </c>
      <c r="G437" s="75"/>
      <c r="H437" s="79">
        <v>0</v>
      </c>
    </row>
    <row r="438" spans="1:8" x14ac:dyDescent="0.2">
      <c r="A438" s="75"/>
      <c r="B438" s="79">
        <v>0</v>
      </c>
      <c r="D438" s="75"/>
      <c r="E438" s="79">
        <v>0</v>
      </c>
      <c r="G438" s="75"/>
      <c r="H438" s="79">
        <v>0</v>
      </c>
    </row>
    <row r="439" spans="1:8" x14ac:dyDescent="0.2">
      <c r="A439" s="75"/>
      <c r="B439" s="79">
        <v>0</v>
      </c>
      <c r="D439" s="75"/>
      <c r="E439" s="79">
        <v>0</v>
      </c>
      <c r="G439" s="75"/>
      <c r="H439" s="79">
        <v>0</v>
      </c>
    </row>
    <row r="440" spans="1:8" x14ac:dyDescent="0.2">
      <c r="A440" s="75"/>
      <c r="B440" s="79">
        <v>0</v>
      </c>
      <c r="D440" s="75"/>
      <c r="E440" s="79">
        <v>0</v>
      </c>
      <c r="G440" s="75"/>
      <c r="H440" s="79">
        <v>0</v>
      </c>
    </row>
    <row r="441" spans="1:8" x14ac:dyDescent="0.2">
      <c r="A441" s="75"/>
      <c r="B441" s="79">
        <v>0</v>
      </c>
      <c r="D441" s="75"/>
      <c r="E441" s="79">
        <v>0</v>
      </c>
      <c r="G441" s="75"/>
      <c r="H441" s="79">
        <v>0</v>
      </c>
    </row>
    <row r="442" spans="1:8" x14ac:dyDescent="0.2">
      <c r="A442" s="75"/>
      <c r="B442" s="79">
        <v>0</v>
      </c>
      <c r="D442" s="75"/>
      <c r="E442" s="79">
        <v>0</v>
      </c>
      <c r="G442" s="75"/>
      <c r="H442" s="79">
        <v>0</v>
      </c>
    </row>
    <row r="443" spans="1:8" x14ac:dyDescent="0.2">
      <c r="A443" s="75"/>
      <c r="B443" s="79">
        <v>0</v>
      </c>
      <c r="D443" s="75"/>
      <c r="E443" s="79">
        <v>0</v>
      </c>
      <c r="G443" s="75"/>
      <c r="H443" s="79">
        <v>0</v>
      </c>
    </row>
    <row r="444" spans="1:8" x14ac:dyDescent="0.2">
      <c r="A444" s="75"/>
      <c r="B444" s="79">
        <v>0</v>
      </c>
      <c r="D444" s="75"/>
      <c r="E444" s="79">
        <v>0</v>
      </c>
      <c r="G444" s="75"/>
      <c r="H444" s="79">
        <v>0</v>
      </c>
    </row>
    <row r="445" spans="1:8" x14ac:dyDescent="0.2">
      <c r="A445" s="75"/>
      <c r="B445" s="79">
        <v>0</v>
      </c>
      <c r="D445" s="75"/>
      <c r="E445" s="79">
        <v>0</v>
      </c>
      <c r="G445" s="75"/>
      <c r="H445" s="79">
        <v>0</v>
      </c>
    </row>
    <row r="446" spans="1:8" x14ac:dyDescent="0.2">
      <c r="A446" s="75"/>
      <c r="B446" s="79">
        <v>0</v>
      </c>
      <c r="D446" s="75"/>
      <c r="E446" s="79">
        <v>0</v>
      </c>
      <c r="G446" s="75"/>
      <c r="H446" s="79">
        <v>0</v>
      </c>
    </row>
    <row r="447" spans="1:8" x14ac:dyDescent="0.2">
      <c r="A447" s="75"/>
      <c r="B447" s="79">
        <v>0</v>
      </c>
      <c r="D447" s="75"/>
      <c r="E447" s="79">
        <v>0</v>
      </c>
      <c r="G447" s="75"/>
      <c r="H447" s="79">
        <v>0</v>
      </c>
    </row>
    <row r="448" spans="1:8" x14ac:dyDescent="0.2">
      <c r="A448" s="75"/>
      <c r="B448" s="79">
        <v>0</v>
      </c>
      <c r="D448" s="75"/>
      <c r="E448" s="79">
        <v>0</v>
      </c>
      <c r="G448" s="75"/>
      <c r="H448" s="79">
        <v>0</v>
      </c>
    </row>
    <row r="449" spans="1:8" x14ac:dyDescent="0.2">
      <c r="A449" s="75"/>
      <c r="B449" s="79">
        <v>0</v>
      </c>
      <c r="D449" s="75"/>
      <c r="E449" s="79">
        <v>0</v>
      </c>
      <c r="G449" s="75"/>
      <c r="H449" s="79">
        <v>0</v>
      </c>
    </row>
    <row r="450" spans="1:8" x14ac:dyDescent="0.2">
      <c r="A450" s="75"/>
      <c r="B450" s="79">
        <v>0</v>
      </c>
      <c r="D450" s="75"/>
      <c r="E450" s="79">
        <v>0</v>
      </c>
      <c r="G450" s="75"/>
      <c r="H450" s="79">
        <v>0</v>
      </c>
    </row>
    <row r="451" spans="1:8" x14ac:dyDescent="0.2">
      <c r="A451" s="75"/>
      <c r="B451" s="79">
        <v>0</v>
      </c>
      <c r="D451" s="75"/>
      <c r="E451" s="79">
        <v>0</v>
      </c>
      <c r="G451" s="75"/>
      <c r="H451" s="79">
        <v>0</v>
      </c>
    </row>
    <row r="452" spans="1:8" x14ac:dyDescent="0.2">
      <c r="A452" s="75"/>
      <c r="B452" s="79">
        <v>0</v>
      </c>
      <c r="D452" s="75"/>
      <c r="E452" s="79">
        <v>0</v>
      </c>
      <c r="G452" s="75"/>
      <c r="H452" s="79">
        <v>0</v>
      </c>
    </row>
    <row r="453" spans="1:8" x14ac:dyDescent="0.2">
      <c r="A453" s="75"/>
      <c r="B453" s="79">
        <v>0</v>
      </c>
      <c r="D453" s="75"/>
      <c r="E453" s="79">
        <v>0</v>
      </c>
      <c r="G453" s="75"/>
      <c r="H453" s="79">
        <v>0</v>
      </c>
    </row>
    <row r="454" spans="1:8" x14ac:dyDescent="0.2">
      <c r="A454" s="75"/>
      <c r="B454" s="79">
        <v>0</v>
      </c>
      <c r="D454" s="75"/>
      <c r="E454" s="79">
        <v>0</v>
      </c>
      <c r="G454" s="75"/>
      <c r="H454" s="79">
        <v>0</v>
      </c>
    </row>
    <row r="455" spans="1:8" x14ac:dyDescent="0.2">
      <c r="A455" s="75"/>
      <c r="B455" s="79">
        <v>0</v>
      </c>
      <c r="D455" s="75"/>
      <c r="E455" s="79">
        <v>0</v>
      </c>
      <c r="G455" s="75"/>
      <c r="H455" s="79">
        <v>0</v>
      </c>
    </row>
    <row r="456" spans="1:8" x14ac:dyDescent="0.2">
      <c r="A456" s="75"/>
      <c r="B456" s="79">
        <v>0</v>
      </c>
      <c r="D456" s="75"/>
      <c r="E456" s="79">
        <v>0</v>
      </c>
      <c r="G456" s="75"/>
      <c r="H456" s="79">
        <v>0</v>
      </c>
    </row>
    <row r="457" spans="1:8" x14ac:dyDescent="0.2">
      <c r="A457" s="75"/>
      <c r="B457" s="79">
        <v>0</v>
      </c>
      <c r="D457" s="75"/>
      <c r="E457" s="79">
        <v>0</v>
      </c>
      <c r="G457" s="75"/>
      <c r="H457" s="79">
        <v>0</v>
      </c>
    </row>
    <row r="458" spans="1:8" x14ac:dyDescent="0.2">
      <c r="A458" s="75"/>
      <c r="B458" s="79">
        <v>0</v>
      </c>
      <c r="D458" s="75"/>
      <c r="E458" s="79">
        <v>0</v>
      </c>
      <c r="G458" s="75"/>
      <c r="H458" s="79">
        <v>0</v>
      </c>
    </row>
    <row r="459" spans="1:8" x14ac:dyDescent="0.2">
      <c r="A459" s="75"/>
      <c r="B459" s="79">
        <v>0</v>
      </c>
      <c r="D459" s="75"/>
      <c r="E459" s="79">
        <v>0</v>
      </c>
      <c r="G459" s="75"/>
      <c r="H459" s="79">
        <v>0</v>
      </c>
    </row>
    <row r="460" spans="1:8" x14ac:dyDescent="0.2">
      <c r="A460" s="75"/>
      <c r="B460" s="79">
        <v>0</v>
      </c>
      <c r="D460" s="75"/>
      <c r="E460" s="79">
        <v>0</v>
      </c>
      <c r="G460" s="75"/>
      <c r="H460" s="79">
        <v>0</v>
      </c>
    </row>
    <row r="461" spans="1:8" x14ac:dyDescent="0.2">
      <c r="A461" s="75"/>
      <c r="B461" s="79">
        <v>0</v>
      </c>
      <c r="D461" s="75"/>
      <c r="E461" s="79">
        <v>0</v>
      </c>
      <c r="G461" s="75"/>
      <c r="H461" s="79">
        <v>0</v>
      </c>
    </row>
    <row r="462" spans="1:8" x14ac:dyDescent="0.2">
      <c r="A462" s="75"/>
      <c r="B462" s="79">
        <v>0</v>
      </c>
      <c r="D462" s="75"/>
      <c r="E462" s="79">
        <v>0</v>
      </c>
      <c r="G462" s="75"/>
      <c r="H462" s="79">
        <v>0</v>
      </c>
    </row>
    <row r="463" spans="1:8" x14ac:dyDescent="0.2">
      <c r="A463" s="75"/>
      <c r="B463" s="79">
        <v>0</v>
      </c>
      <c r="D463" s="75"/>
      <c r="E463" s="79">
        <v>0</v>
      </c>
      <c r="G463" s="75"/>
      <c r="H463" s="79">
        <v>0</v>
      </c>
    </row>
    <row r="464" spans="1:8" x14ac:dyDescent="0.2">
      <c r="A464" s="75"/>
      <c r="B464" s="79">
        <v>0</v>
      </c>
      <c r="D464" s="75"/>
      <c r="E464" s="79">
        <v>0</v>
      </c>
      <c r="G464" s="75"/>
      <c r="H464" s="79">
        <v>0</v>
      </c>
    </row>
    <row r="465" spans="1:8" x14ac:dyDescent="0.2">
      <c r="A465" s="75"/>
      <c r="B465" s="79">
        <v>0</v>
      </c>
      <c r="D465" s="75"/>
      <c r="E465" s="79">
        <v>0</v>
      </c>
      <c r="G465" s="75"/>
      <c r="H465" s="79">
        <v>0</v>
      </c>
    </row>
    <row r="466" spans="1:8" x14ac:dyDescent="0.2">
      <c r="A466" s="75"/>
      <c r="B466" s="79">
        <v>0</v>
      </c>
      <c r="D466" s="75"/>
      <c r="E466" s="79">
        <v>0</v>
      </c>
      <c r="G466" s="75"/>
      <c r="H466" s="79">
        <v>0</v>
      </c>
    </row>
    <row r="467" spans="1:8" x14ac:dyDescent="0.2">
      <c r="A467" s="75"/>
      <c r="B467" s="79">
        <v>0</v>
      </c>
      <c r="D467" s="75"/>
      <c r="E467" s="79">
        <v>0</v>
      </c>
      <c r="G467" s="75"/>
      <c r="H467" s="79">
        <v>0</v>
      </c>
    </row>
    <row r="468" spans="1:8" x14ac:dyDescent="0.2">
      <c r="A468" s="75"/>
      <c r="B468" s="79">
        <v>0</v>
      </c>
      <c r="D468" s="75"/>
      <c r="E468" s="79">
        <v>0</v>
      </c>
      <c r="G468" s="75"/>
      <c r="H468" s="79">
        <v>0</v>
      </c>
    </row>
    <row r="469" spans="1:8" x14ac:dyDescent="0.2">
      <c r="A469" s="75"/>
      <c r="B469" s="79">
        <v>0</v>
      </c>
      <c r="D469" s="75"/>
      <c r="E469" s="79">
        <v>0</v>
      </c>
      <c r="G469" s="75"/>
      <c r="H469" s="79">
        <v>0</v>
      </c>
    </row>
    <row r="470" spans="1:8" x14ac:dyDescent="0.2">
      <c r="A470" s="75"/>
      <c r="B470" s="79">
        <v>0</v>
      </c>
      <c r="D470" s="75"/>
      <c r="E470" s="79">
        <v>0</v>
      </c>
      <c r="G470" s="75"/>
      <c r="H470" s="79">
        <v>0</v>
      </c>
    </row>
    <row r="471" spans="1:8" x14ac:dyDescent="0.2">
      <c r="A471" s="75"/>
      <c r="B471" s="79">
        <v>0</v>
      </c>
      <c r="D471" s="75"/>
      <c r="E471" s="79">
        <v>0</v>
      </c>
      <c r="G471" s="75"/>
      <c r="H471" s="79">
        <v>0</v>
      </c>
    </row>
    <row r="472" spans="1:8" x14ac:dyDescent="0.2">
      <c r="A472" s="75"/>
      <c r="B472" s="79">
        <v>0</v>
      </c>
      <c r="D472" s="75"/>
      <c r="E472" s="79">
        <v>0</v>
      </c>
      <c r="G472" s="75"/>
      <c r="H472" s="79">
        <v>0</v>
      </c>
    </row>
    <row r="473" spans="1:8" x14ac:dyDescent="0.2">
      <c r="A473" s="75"/>
      <c r="B473" s="79">
        <v>0</v>
      </c>
      <c r="D473" s="75"/>
      <c r="E473" s="79">
        <v>0</v>
      </c>
      <c r="G473" s="75"/>
      <c r="H473" s="79">
        <v>0</v>
      </c>
    </row>
    <row r="474" spans="1:8" x14ac:dyDescent="0.2">
      <c r="A474" s="75"/>
      <c r="B474" s="79">
        <v>0</v>
      </c>
      <c r="D474" s="75"/>
      <c r="E474" s="79">
        <v>0</v>
      </c>
      <c r="G474" s="75"/>
      <c r="H474" s="79">
        <v>0</v>
      </c>
    </row>
    <row r="475" spans="1:8" x14ac:dyDescent="0.2">
      <c r="A475" s="75"/>
      <c r="B475" s="79">
        <v>0</v>
      </c>
      <c r="D475" s="75"/>
      <c r="E475" s="79">
        <v>0</v>
      </c>
      <c r="G475" s="75"/>
      <c r="H475" s="79">
        <v>0</v>
      </c>
    </row>
    <row r="476" spans="1:8" x14ac:dyDescent="0.2">
      <c r="A476" s="75"/>
      <c r="B476" s="79">
        <v>0</v>
      </c>
      <c r="D476" s="75"/>
      <c r="E476" s="79">
        <v>0</v>
      </c>
      <c r="G476" s="75"/>
      <c r="H476" s="79">
        <v>0</v>
      </c>
    </row>
    <row r="477" spans="1:8" x14ac:dyDescent="0.2">
      <c r="A477" s="75"/>
      <c r="B477" s="79">
        <v>0</v>
      </c>
      <c r="D477" s="75"/>
      <c r="E477" s="79">
        <v>0</v>
      </c>
      <c r="G477" s="75"/>
      <c r="H477" s="79">
        <v>0</v>
      </c>
    </row>
    <row r="478" spans="1:8" x14ac:dyDescent="0.2">
      <c r="A478" s="75"/>
      <c r="B478" s="79">
        <v>0</v>
      </c>
      <c r="D478" s="75"/>
      <c r="E478" s="79">
        <v>0</v>
      </c>
      <c r="G478" s="75"/>
      <c r="H478" s="79">
        <v>0</v>
      </c>
    </row>
    <row r="479" spans="1:8" x14ac:dyDescent="0.2">
      <c r="A479" s="75"/>
      <c r="B479" s="79">
        <v>0</v>
      </c>
      <c r="D479" s="75"/>
      <c r="E479" s="79">
        <v>0</v>
      </c>
      <c r="G479" s="75"/>
      <c r="H479" s="79">
        <v>0</v>
      </c>
    </row>
    <row r="480" spans="1:8" x14ac:dyDescent="0.2">
      <c r="A480" s="75"/>
      <c r="B480" s="79">
        <v>0</v>
      </c>
      <c r="D480" s="75"/>
      <c r="E480" s="79">
        <v>0</v>
      </c>
      <c r="G480" s="75"/>
      <c r="H480" s="79">
        <v>0</v>
      </c>
    </row>
    <row r="481" spans="1:8" x14ac:dyDescent="0.2">
      <c r="A481" s="75"/>
      <c r="B481" s="79">
        <v>0</v>
      </c>
      <c r="D481" s="75"/>
      <c r="E481" s="79">
        <v>0</v>
      </c>
      <c r="G481" s="75"/>
      <c r="H481" s="79">
        <v>0</v>
      </c>
    </row>
    <row r="482" spans="1:8" x14ac:dyDescent="0.2">
      <c r="A482" s="75"/>
      <c r="B482" s="79">
        <v>0</v>
      </c>
      <c r="D482" s="75"/>
      <c r="E482" s="79">
        <v>0</v>
      </c>
      <c r="G482" s="75"/>
      <c r="H482" s="79">
        <v>0</v>
      </c>
    </row>
    <row r="483" spans="1:8" x14ac:dyDescent="0.2">
      <c r="A483" s="75"/>
      <c r="B483" s="79">
        <v>0</v>
      </c>
      <c r="D483" s="75"/>
      <c r="E483" s="79">
        <v>0</v>
      </c>
      <c r="G483" s="75"/>
      <c r="H483" s="79">
        <v>0</v>
      </c>
    </row>
    <row r="484" spans="1:8" x14ac:dyDescent="0.2">
      <c r="A484" s="75"/>
      <c r="B484" s="79">
        <v>0</v>
      </c>
      <c r="D484" s="75"/>
      <c r="E484" s="79">
        <v>0</v>
      </c>
      <c r="G484" s="75"/>
      <c r="H484" s="79">
        <v>0</v>
      </c>
    </row>
    <row r="485" spans="1:8" x14ac:dyDescent="0.2">
      <c r="A485" s="75"/>
      <c r="B485" s="79">
        <v>0</v>
      </c>
      <c r="D485" s="75"/>
      <c r="E485" s="79">
        <v>0</v>
      </c>
      <c r="G485" s="75"/>
      <c r="H485" s="79">
        <v>0</v>
      </c>
    </row>
    <row r="486" spans="1:8" x14ac:dyDescent="0.2">
      <c r="A486" s="75"/>
      <c r="B486" s="79">
        <v>0</v>
      </c>
      <c r="D486" s="75"/>
      <c r="E486" s="79">
        <v>0</v>
      </c>
      <c r="G486" s="75"/>
      <c r="H486" s="79">
        <v>0</v>
      </c>
    </row>
    <row r="487" spans="1:8" x14ac:dyDescent="0.2">
      <c r="A487" s="75"/>
      <c r="B487" s="79">
        <v>0</v>
      </c>
      <c r="D487" s="75"/>
      <c r="E487" s="79">
        <v>0</v>
      </c>
      <c r="G487" s="75"/>
      <c r="H487" s="79">
        <v>0</v>
      </c>
    </row>
    <row r="488" spans="1:8" x14ac:dyDescent="0.2">
      <c r="A488" s="75"/>
      <c r="B488" s="79">
        <v>0</v>
      </c>
      <c r="D488" s="75"/>
      <c r="E488" s="79">
        <v>0</v>
      </c>
      <c r="G488" s="75"/>
      <c r="H488" s="79">
        <v>0</v>
      </c>
    </row>
    <row r="489" spans="1:8" x14ac:dyDescent="0.2">
      <c r="A489" s="75"/>
      <c r="B489" s="79">
        <v>0</v>
      </c>
      <c r="D489" s="75"/>
      <c r="E489" s="79">
        <v>0</v>
      </c>
      <c r="G489" s="75"/>
      <c r="H489" s="79">
        <v>0</v>
      </c>
    </row>
    <row r="490" spans="1:8" x14ac:dyDescent="0.2">
      <c r="A490" s="75"/>
      <c r="B490" s="79">
        <v>0</v>
      </c>
      <c r="D490" s="75"/>
      <c r="E490" s="79">
        <v>0</v>
      </c>
      <c r="G490" s="75"/>
      <c r="H490" s="79">
        <v>0</v>
      </c>
    </row>
    <row r="491" spans="1:8" x14ac:dyDescent="0.2">
      <c r="A491" s="75"/>
      <c r="B491" s="79">
        <v>0</v>
      </c>
      <c r="D491" s="75"/>
      <c r="E491" s="79">
        <v>0</v>
      </c>
      <c r="G491" s="75"/>
      <c r="H491" s="79">
        <v>0</v>
      </c>
    </row>
    <row r="492" spans="1:8" x14ac:dyDescent="0.2">
      <c r="A492" s="75"/>
      <c r="B492" s="79">
        <v>0</v>
      </c>
      <c r="D492" s="75"/>
      <c r="E492" s="79">
        <v>0</v>
      </c>
      <c r="G492" s="75"/>
      <c r="H492" s="79">
        <v>0</v>
      </c>
    </row>
    <row r="493" spans="1:8" x14ac:dyDescent="0.2">
      <c r="A493" s="75"/>
      <c r="B493" s="79">
        <v>0</v>
      </c>
      <c r="D493" s="75"/>
      <c r="E493" s="79">
        <v>0</v>
      </c>
      <c r="G493" s="75"/>
      <c r="H493" s="79">
        <v>0</v>
      </c>
    </row>
    <row r="494" spans="1:8" x14ac:dyDescent="0.2">
      <c r="A494" s="75"/>
      <c r="B494" s="79">
        <v>0</v>
      </c>
      <c r="D494" s="75"/>
      <c r="E494" s="79">
        <v>0</v>
      </c>
      <c r="G494" s="75"/>
      <c r="H494" s="79">
        <v>0</v>
      </c>
    </row>
    <row r="495" spans="1:8" x14ac:dyDescent="0.2">
      <c r="A495" s="75"/>
      <c r="B495" s="79">
        <v>0</v>
      </c>
      <c r="D495" s="75"/>
      <c r="E495" s="79">
        <v>0</v>
      </c>
      <c r="G495" s="75"/>
      <c r="H495" s="79">
        <v>0</v>
      </c>
    </row>
    <row r="496" spans="1:8" x14ac:dyDescent="0.2">
      <c r="A496" s="75"/>
      <c r="B496" s="79">
        <v>0</v>
      </c>
      <c r="D496" s="75"/>
      <c r="E496" s="79">
        <v>0</v>
      </c>
      <c r="G496" s="75"/>
      <c r="H496" s="79">
        <v>0</v>
      </c>
    </row>
    <row r="497" spans="1:8" x14ac:dyDescent="0.2">
      <c r="A497" s="75"/>
      <c r="B497" s="79">
        <v>0</v>
      </c>
      <c r="D497" s="75"/>
      <c r="E497" s="79">
        <v>0</v>
      </c>
      <c r="G497" s="75"/>
      <c r="H497" s="79">
        <v>0</v>
      </c>
    </row>
    <row r="498" spans="1:8" x14ac:dyDescent="0.2">
      <c r="A498" s="75"/>
      <c r="B498" s="79">
        <v>0</v>
      </c>
      <c r="D498" s="75"/>
      <c r="E498" s="79">
        <v>0</v>
      </c>
      <c r="G498" s="75"/>
      <c r="H498" s="79">
        <v>0</v>
      </c>
    </row>
    <row r="499" spans="1:8" x14ac:dyDescent="0.2">
      <c r="A499" s="75"/>
      <c r="B499" s="79">
        <v>0</v>
      </c>
      <c r="D499" s="75"/>
      <c r="E499" s="79">
        <v>0</v>
      </c>
      <c r="G499" s="75"/>
      <c r="H499" s="79">
        <v>0</v>
      </c>
    </row>
    <row r="500" spans="1:8" x14ac:dyDescent="0.2">
      <c r="A500" s="75"/>
      <c r="B500" s="79">
        <v>0</v>
      </c>
      <c r="D500" s="75"/>
      <c r="E500" s="79">
        <v>0</v>
      </c>
      <c r="G500" s="75"/>
      <c r="H500" s="79">
        <v>0</v>
      </c>
    </row>
    <row r="501" spans="1:8" x14ac:dyDescent="0.2">
      <c r="A501" s="75"/>
      <c r="B501" s="79">
        <v>0</v>
      </c>
      <c r="D501" s="75"/>
      <c r="E501" s="79">
        <v>0</v>
      </c>
      <c r="G501" s="75"/>
      <c r="H501" s="79">
        <v>0</v>
      </c>
    </row>
    <row r="502" spans="1:8" x14ac:dyDescent="0.2">
      <c r="A502" s="75"/>
      <c r="B502" s="79">
        <v>0</v>
      </c>
      <c r="D502" s="75"/>
      <c r="E502" s="79">
        <v>0</v>
      </c>
      <c r="G502" s="75"/>
      <c r="H502" s="79">
        <v>0</v>
      </c>
    </row>
    <row r="503" spans="1:8" x14ac:dyDescent="0.2">
      <c r="A503" s="75"/>
      <c r="B503" s="79">
        <v>0</v>
      </c>
      <c r="D503" s="75"/>
      <c r="E503" s="79">
        <v>0</v>
      </c>
      <c r="G503" s="75"/>
      <c r="H503" s="79">
        <v>0</v>
      </c>
    </row>
    <row r="504" spans="1:8" x14ac:dyDescent="0.2">
      <c r="A504" s="75"/>
      <c r="B504" s="79">
        <v>0</v>
      </c>
      <c r="D504" s="75"/>
      <c r="E504" s="79">
        <v>0</v>
      </c>
      <c r="G504" s="75"/>
      <c r="H504" s="79">
        <v>0</v>
      </c>
    </row>
    <row r="505" spans="1:8" x14ac:dyDescent="0.2">
      <c r="A505" s="75"/>
      <c r="B505" s="79">
        <v>0</v>
      </c>
      <c r="D505" s="75"/>
      <c r="E505" s="79">
        <v>0</v>
      </c>
      <c r="G505" s="75"/>
      <c r="H505" s="79">
        <v>0</v>
      </c>
    </row>
    <row r="506" spans="1:8" x14ac:dyDescent="0.2">
      <c r="A506" s="75"/>
      <c r="B506" s="79">
        <v>0</v>
      </c>
      <c r="D506" s="75"/>
      <c r="E506" s="79">
        <v>0</v>
      </c>
      <c r="G506" s="75"/>
      <c r="H506" s="79">
        <v>0</v>
      </c>
    </row>
    <row r="507" spans="1:8" x14ac:dyDescent="0.2">
      <c r="A507" s="75"/>
      <c r="B507" s="79">
        <v>0</v>
      </c>
      <c r="D507" s="75"/>
      <c r="E507" s="79">
        <v>0</v>
      </c>
      <c r="G507" s="75"/>
      <c r="H507" s="79">
        <v>0</v>
      </c>
    </row>
    <row r="508" spans="1:8" x14ac:dyDescent="0.2">
      <c r="A508" s="75"/>
      <c r="B508" s="79">
        <v>0</v>
      </c>
      <c r="D508" s="75"/>
      <c r="E508" s="79">
        <v>0</v>
      </c>
      <c r="G508" s="75"/>
      <c r="H508" s="79">
        <v>0</v>
      </c>
    </row>
    <row r="509" spans="1:8" x14ac:dyDescent="0.2">
      <c r="A509" s="75"/>
      <c r="B509" s="79">
        <v>0</v>
      </c>
      <c r="D509" s="75"/>
      <c r="E509" s="79">
        <v>0</v>
      </c>
      <c r="G509" s="75"/>
      <c r="H509" s="79">
        <v>0</v>
      </c>
    </row>
    <row r="510" spans="1:8" x14ac:dyDescent="0.2">
      <c r="A510" s="75"/>
      <c r="B510" s="79">
        <v>0</v>
      </c>
      <c r="D510" s="75"/>
      <c r="E510" s="79">
        <v>0</v>
      </c>
      <c r="G510" s="75"/>
      <c r="H510" s="79">
        <v>0</v>
      </c>
    </row>
    <row r="511" spans="1:8" x14ac:dyDescent="0.2">
      <c r="A511" s="75"/>
      <c r="B511" s="79">
        <v>0</v>
      </c>
      <c r="D511" s="75"/>
      <c r="E511" s="79">
        <v>0</v>
      </c>
      <c r="G511" s="75"/>
      <c r="H511" s="79">
        <v>0</v>
      </c>
    </row>
    <row r="512" spans="1:8" x14ac:dyDescent="0.2">
      <c r="A512" s="75"/>
      <c r="B512" s="79">
        <v>0</v>
      </c>
      <c r="D512" s="75"/>
      <c r="E512" s="79">
        <v>0</v>
      </c>
      <c r="G512" s="75"/>
      <c r="H512" s="79">
        <v>0</v>
      </c>
    </row>
    <row r="513" spans="1:8" x14ac:dyDescent="0.2">
      <c r="A513" s="75"/>
      <c r="B513" s="79">
        <v>0</v>
      </c>
      <c r="D513" s="75"/>
      <c r="E513" s="79">
        <v>0</v>
      </c>
      <c r="G513" s="75"/>
      <c r="H513" s="79">
        <v>0</v>
      </c>
    </row>
    <row r="514" spans="1:8" x14ac:dyDescent="0.2">
      <c r="A514" s="75"/>
      <c r="B514" s="79">
        <v>0</v>
      </c>
      <c r="D514" s="75"/>
      <c r="E514" s="79">
        <v>0</v>
      </c>
      <c r="G514" s="75"/>
      <c r="H514" s="79">
        <v>0</v>
      </c>
    </row>
    <row r="515" spans="1:8" x14ac:dyDescent="0.2">
      <c r="A515" s="75"/>
      <c r="B515" s="79">
        <v>0</v>
      </c>
      <c r="D515" s="75"/>
      <c r="E515" s="79">
        <v>0</v>
      </c>
      <c r="G515" s="75"/>
      <c r="H515" s="79">
        <v>0</v>
      </c>
    </row>
    <row r="516" spans="1:8" x14ac:dyDescent="0.2">
      <c r="A516" s="75"/>
      <c r="B516" s="79">
        <v>0</v>
      </c>
      <c r="D516" s="75"/>
      <c r="E516" s="79">
        <v>0</v>
      </c>
      <c r="G516" s="75"/>
      <c r="H516" s="79">
        <v>0</v>
      </c>
    </row>
    <row r="517" spans="1:8" x14ac:dyDescent="0.2">
      <c r="A517" s="75"/>
      <c r="B517" s="79">
        <v>0</v>
      </c>
      <c r="D517" s="75"/>
      <c r="E517" s="79">
        <v>0</v>
      </c>
      <c r="G517" s="75"/>
      <c r="H517" s="79">
        <v>0</v>
      </c>
    </row>
    <row r="518" spans="1:8" x14ac:dyDescent="0.2">
      <c r="A518" s="75"/>
      <c r="B518" s="79">
        <v>0</v>
      </c>
      <c r="D518" s="75"/>
      <c r="E518" s="79">
        <v>0</v>
      </c>
      <c r="G518" s="75"/>
      <c r="H518" s="79">
        <v>0</v>
      </c>
    </row>
    <row r="519" spans="1:8" x14ac:dyDescent="0.2">
      <c r="A519" s="75"/>
      <c r="B519" s="79">
        <v>0</v>
      </c>
      <c r="D519" s="75"/>
      <c r="E519" s="79">
        <v>0</v>
      </c>
      <c r="G519" s="75"/>
      <c r="H519" s="79">
        <v>0</v>
      </c>
    </row>
    <row r="520" spans="1:8" x14ac:dyDescent="0.2">
      <c r="A520" s="75"/>
      <c r="B520" s="79">
        <v>0</v>
      </c>
      <c r="D520" s="75"/>
      <c r="E520" s="79">
        <v>0</v>
      </c>
      <c r="G520" s="75"/>
      <c r="H520" s="79">
        <v>0</v>
      </c>
    </row>
    <row r="521" spans="1:8" x14ac:dyDescent="0.2">
      <c r="A521" s="75"/>
      <c r="B521" s="79">
        <v>0</v>
      </c>
      <c r="D521" s="75"/>
      <c r="E521" s="79">
        <v>0</v>
      </c>
      <c r="G521" s="75"/>
      <c r="H521" s="79">
        <v>0</v>
      </c>
    </row>
    <row r="522" spans="1:8" x14ac:dyDescent="0.2">
      <c r="A522" s="75"/>
      <c r="B522" s="79">
        <v>0</v>
      </c>
      <c r="D522" s="75"/>
      <c r="E522" s="79">
        <v>0</v>
      </c>
      <c r="G522" s="75"/>
      <c r="H522" s="79">
        <v>0</v>
      </c>
    </row>
    <row r="523" spans="1:8" x14ac:dyDescent="0.2">
      <c r="A523" s="75"/>
      <c r="B523" s="79">
        <v>0</v>
      </c>
      <c r="D523" s="75"/>
      <c r="E523" s="79">
        <v>0</v>
      </c>
      <c r="G523" s="75"/>
      <c r="H523" s="79">
        <v>0</v>
      </c>
    </row>
    <row r="524" spans="1:8" x14ac:dyDescent="0.2">
      <c r="A524" s="75"/>
      <c r="B524" s="79">
        <v>0</v>
      </c>
      <c r="D524" s="75"/>
      <c r="E524" s="79">
        <v>0</v>
      </c>
      <c r="G524" s="75"/>
      <c r="H524" s="79">
        <v>0</v>
      </c>
    </row>
    <row r="525" spans="1:8" x14ac:dyDescent="0.2">
      <c r="A525" s="75"/>
      <c r="B525" s="79">
        <v>0</v>
      </c>
      <c r="D525" s="75"/>
      <c r="E525" s="79">
        <v>0</v>
      </c>
      <c r="G525" s="75"/>
      <c r="H525" s="79">
        <v>0</v>
      </c>
    </row>
    <row r="526" spans="1:8" x14ac:dyDescent="0.2">
      <c r="A526" s="75"/>
      <c r="B526" s="79">
        <v>0</v>
      </c>
      <c r="D526" s="75"/>
      <c r="E526" s="79">
        <v>0</v>
      </c>
      <c r="G526" s="75"/>
      <c r="H526" s="79">
        <v>0</v>
      </c>
    </row>
    <row r="527" spans="1:8" x14ac:dyDescent="0.2">
      <c r="A527" s="75"/>
      <c r="B527" s="79">
        <v>0</v>
      </c>
      <c r="D527" s="75"/>
      <c r="E527" s="79">
        <v>0</v>
      </c>
      <c r="G527" s="75"/>
      <c r="H527" s="79">
        <v>0</v>
      </c>
    </row>
    <row r="528" spans="1:8" x14ac:dyDescent="0.2">
      <c r="A528" s="75"/>
      <c r="B528" s="79">
        <v>0</v>
      </c>
      <c r="D528" s="75"/>
      <c r="E528" s="79">
        <v>0</v>
      </c>
      <c r="G528" s="75"/>
      <c r="H528" s="79">
        <v>0</v>
      </c>
    </row>
    <row r="529" spans="1:8" x14ac:dyDescent="0.2">
      <c r="A529" s="75"/>
      <c r="B529" s="79">
        <v>0</v>
      </c>
      <c r="D529" s="75"/>
      <c r="E529" s="79">
        <v>0</v>
      </c>
      <c r="G529" s="75"/>
      <c r="H529" s="79">
        <v>0</v>
      </c>
    </row>
    <row r="530" spans="1:8" x14ac:dyDescent="0.2">
      <c r="A530" s="75"/>
      <c r="B530" s="79">
        <v>0</v>
      </c>
      <c r="D530" s="75"/>
      <c r="E530" s="79">
        <v>0</v>
      </c>
      <c r="G530" s="75"/>
      <c r="H530" s="79">
        <v>0</v>
      </c>
    </row>
    <row r="531" spans="1:8" x14ac:dyDescent="0.2">
      <c r="A531" s="75"/>
      <c r="B531" s="79">
        <v>0</v>
      </c>
      <c r="D531" s="75"/>
      <c r="E531" s="79">
        <v>0</v>
      </c>
      <c r="G531" s="75"/>
      <c r="H531" s="79">
        <v>0</v>
      </c>
    </row>
    <row r="532" spans="1:8" x14ac:dyDescent="0.2">
      <c r="A532" s="75"/>
      <c r="B532" s="79">
        <v>0</v>
      </c>
      <c r="D532" s="75"/>
      <c r="E532" s="79">
        <v>0</v>
      </c>
      <c r="G532" s="75"/>
      <c r="H532" s="79">
        <v>0</v>
      </c>
    </row>
    <row r="533" spans="1:8" x14ac:dyDescent="0.2">
      <c r="A533" s="75"/>
      <c r="B533" s="79">
        <v>0</v>
      </c>
      <c r="D533" s="75"/>
      <c r="E533" s="79">
        <v>0</v>
      </c>
      <c r="G533" s="75"/>
      <c r="H533" s="79">
        <v>0</v>
      </c>
    </row>
    <row r="534" spans="1:8" x14ac:dyDescent="0.2">
      <c r="A534" s="75"/>
      <c r="B534" s="79">
        <v>0</v>
      </c>
      <c r="D534" s="75"/>
      <c r="E534" s="79">
        <v>0</v>
      </c>
      <c r="G534" s="75"/>
      <c r="H534" s="79">
        <v>0</v>
      </c>
    </row>
    <row r="535" spans="1:8" x14ac:dyDescent="0.2">
      <c r="A535" s="75"/>
      <c r="B535" s="79">
        <v>0</v>
      </c>
      <c r="D535" s="75"/>
      <c r="E535" s="79">
        <v>0</v>
      </c>
      <c r="G535" s="75"/>
      <c r="H535" s="79">
        <v>0</v>
      </c>
    </row>
    <row r="536" spans="1:8" x14ac:dyDescent="0.2">
      <c r="A536" s="75"/>
      <c r="B536" s="79">
        <v>0</v>
      </c>
      <c r="D536" s="75"/>
      <c r="E536" s="79">
        <v>0</v>
      </c>
      <c r="G536" s="75"/>
      <c r="H536" s="79">
        <v>0</v>
      </c>
    </row>
    <row r="537" spans="1:8" x14ac:dyDescent="0.2">
      <c r="A537" s="75"/>
      <c r="B537" s="79">
        <v>0</v>
      </c>
      <c r="D537" s="75"/>
      <c r="E537" s="79">
        <v>0</v>
      </c>
      <c r="G537" s="75"/>
      <c r="H537" s="79">
        <v>0</v>
      </c>
    </row>
    <row r="538" spans="1:8" x14ac:dyDescent="0.2">
      <c r="A538" s="75"/>
      <c r="B538" s="79">
        <v>0</v>
      </c>
      <c r="D538" s="75"/>
      <c r="E538" s="79">
        <v>0</v>
      </c>
      <c r="G538" s="75"/>
      <c r="H538" s="79">
        <v>0</v>
      </c>
    </row>
    <row r="539" spans="1:8" x14ac:dyDescent="0.2">
      <c r="A539" s="75"/>
      <c r="B539" s="79">
        <v>0</v>
      </c>
      <c r="D539" s="75"/>
      <c r="E539" s="79">
        <v>0</v>
      </c>
      <c r="G539" s="75"/>
      <c r="H539" s="79">
        <v>0</v>
      </c>
    </row>
    <row r="540" spans="1:8" x14ac:dyDescent="0.2">
      <c r="A540" s="75"/>
      <c r="B540" s="79">
        <v>0</v>
      </c>
      <c r="D540" s="75"/>
      <c r="E540" s="79">
        <v>0</v>
      </c>
      <c r="G540" s="75"/>
      <c r="H540" s="79">
        <v>0</v>
      </c>
    </row>
    <row r="541" spans="1:8" x14ac:dyDescent="0.2">
      <c r="A541" s="75"/>
      <c r="B541" s="79">
        <v>0</v>
      </c>
      <c r="D541" s="75"/>
      <c r="E541" s="79">
        <v>0</v>
      </c>
      <c r="G541" s="75"/>
      <c r="H541" s="79">
        <v>0</v>
      </c>
    </row>
    <row r="542" spans="1:8" x14ac:dyDescent="0.2">
      <c r="A542" s="75"/>
      <c r="B542" s="79">
        <v>0</v>
      </c>
      <c r="D542" s="75"/>
      <c r="E542" s="79">
        <v>0</v>
      </c>
      <c r="G542" s="75"/>
      <c r="H542" s="79">
        <v>0</v>
      </c>
    </row>
    <row r="543" spans="1:8" x14ac:dyDescent="0.2">
      <c r="A543" s="75"/>
      <c r="B543" s="79">
        <v>0</v>
      </c>
      <c r="D543" s="75"/>
      <c r="E543" s="79">
        <v>0</v>
      </c>
      <c r="G543" s="75"/>
      <c r="H543" s="79">
        <v>0</v>
      </c>
    </row>
    <row r="544" spans="1:8" x14ac:dyDescent="0.2">
      <c r="A544" s="75"/>
      <c r="B544" s="79">
        <v>0</v>
      </c>
      <c r="D544" s="75"/>
      <c r="E544" s="79">
        <v>0</v>
      </c>
      <c r="G544" s="75"/>
      <c r="H544" s="79">
        <v>0</v>
      </c>
    </row>
    <row r="545" spans="1:8" x14ac:dyDescent="0.2">
      <c r="A545" s="75"/>
      <c r="B545" s="79">
        <v>0</v>
      </c>
      <c r="D545" s="75"/>
      <c r="E545" s="79">
        <v>0</v>
      </c>
      <c r="G545" s="75"/>
      <c r="H545" s="79">
        <v>0</v>
      </c>
    </row>
    <row r="546" spans="1:8" x14ac:dyDescent="0.2">
      <c r="A546" s="75"/>
      <c r="B546" s="79">
        <v>0</v>
      </c>
      <c r="D546" s="75"/>
      <c r="E546" s="79">
        <v>0</v>
      </c>
      <c r="G546" s="75"/>
      <c r="H546" s="79">
        <v>0</v>
      </c>
    </row>
    <row r="547" spans="1:8" x14ac:dyDescent="0.2">
      <c r="A547" s="75"/>
      <c r="B547" s="79">
        <v>0</v>
      </c>
      <c r="D547" s="75"/>
      <c r="E547" s="79">
        <v>0</v>
      </c>
      <c r="G547" s="75"/>
      <c r="H547" s="79">
        <v>0</v>
      </c>
    </row>
    <row r="548" spans="1:8" x14ac:dyDescent="0.2">
      <c r="A548" s="75"/>
      <c r="B548" s="79">
        <v>0</v>
      </c>
      <c r="D548" s="75"/>
      <c r="E548" s="79">
        <v>0</v>
      </c>
      <c r="G548" s="75"/>
      <c r="H548" s="79">
        <v>0</v>
      </c>
    </row>
    <row r="549" spans="1:8" x14ac:dyDescent="0.2">
      <c r="A549" s="75"/>
      <c r="B549" s="79">
        <v>0</v>
      </c>
      <c r="D549" s="75"/>
      <c r="E549" s="79">
        <v>0</v>
      </c>
      <c r="G549" s="75"/>
      <c r="H549" s="79">
        <v>0</v>
      </c>
    </row>
    <row r="550" spans="1:8" x14ac:dyDescent="0.2">
      <c r="A550" s="75"/>
      <c r="B550" s="79">
        <v>0</v>
      </c>
      <c r="D550" s="75"/>
      <c r="E550" s="79">
        <v>0</v>
      </c>
      <c r="G550" s="75"/>
      <c r="H550" s="79">
        <v>0</v>
      </c>
    </row>
    <row r="551" spans="1:8" x14ac:dyDescent="0.2">
      <c r="A551" s="75"/>
      <c r="B551" s="79">
        <v>0</v>
      </c>
      <c r="D551" s="75"/>
      <c r="E551" s="79">
        <v>0</v>
      </c>
      <c r="G551" s="75"/>
      <c r="H551" s="79">
        <v>0</v>
      </c>
    </row>
    <row r="552" spans="1:8" x14ac:dyDescent="0.2">
      <c r="A552" s="75"/>
      <c r="B552" s="79">
        <v>0</v>
      </c>
      <c r="D552" s="75"/>
      <c r="E552" s="79">
        <v>0</v>
      </c>
      <c r="G552" s="75"/>
      <c r="H552" s="79">
        <v>0</v>
      </c>
    </row>
    <row r="553" spans="1:8" x14ac:dyDescent="0.2">
      <c r="A553" s="75"/>
      <c r="B553" s="79">
        <v>0</v>
      </c>
      <c r="D553" s="75"/>
      <c r="E553" s="79">
        <v>0</v>
      </c>
      <c r="G553" s="75"/>
      <c r="H553" s="79">
        <v>0</v>
      </c>
    </row>
    <row r="554" spans="1:8" x14ac:dyDescent="0.2">
      <c r="A554" s="75"/>
      <c r="B554" s="79">
        <v>0</v>
      </c>
      <c r="D554" s="75"/>
      <c r="E554" s="79">
        <v>0</v>
      </c>
      <c r="G554" s="75"/>
      <c r="H554" s="79">
        <v>0</v>
      </c>
    </row>
    <row r="555" spans="1:8" x14ac:dyDescent="0.2">
      <c r="A555" s="75"/>
      <c r="B555" s="79">
        <v>0</v>
      </c>
      <c r="D555" s="75"/>
      <c r="E555" s="79">
        <v>0</v>
      </c>
      <c r="G555" s="75"/>
      <c r="H555" s="79">
        <v>0</v>
      </c>
    </row>
    <row r="556" spans="1:8" x14ac:dyDescent="0.2">
      <c r="A556" s="75"/>
      <c r="B556" s="79">
        <v>0</v>
      </c>
      <c r="D556" s="75"/>
      <c r="E556" s="79">
        <v>0</v>
      </c>
      <c r="G556" s="75"/>
      <c r="H556" s="79">
        <v>0</v>
      </c>
    </row>
    <row r="557" spans="1:8" x14ac:dyDescent="0.2">
      <c r="A557" s="75"/>
      <c r="B557" s="79">
        <v>0</v>
      </c>
      <c r="D557" s="75"/>
      <c r="E557" s="79">
        <v>0</v>
      </c>
      <c r="G557" s="75"/>
      <c r="H557" s="79">
        <v>0</v>
      </c>
    </row>
    <row r="558" spans="1:8" x14ac:dyDescent="0.2">
      <c r="A558" s="75"/>
      <c r="B558" s="79">
        <v>0</v>
      </c>
      <c r="D558" s="75"/>
      <c r="E558" s="79">
        <v>0</v>
      </c>
      <c r="G558" s="75"/>
      <c r="H558" s="79">
        <v>0</v>
      </c>
    </row>
    <row r="559" spans="1:8" x14ac:dyDescent="0.2">
      <c r="A559" s="75"/>
      <c r="B559" s="79">
        <v>0</v>
      </c>
      <c r="D559" s="75"/>
      <c r="E559" s="79">
        <v>0</v>
      </c>
      <c r="G559" s="75"/>
      <c r="H559" s="79">
        <v>0</v>
      </c>
    </row>
    <row r="560" spans="1:8" x14ac:dyDescent="0.2">
      <c r="A560" s="75"/>
      <c r="B560" s="79">
        <v>0</v>
      </c>
      <c r="D560" s="75"/>
      <c r="E560" s="79">
        <v>0</v>
      </c>
      <c r="G560" s="75"/>
      <c r="H560" s="79">
        <v>0</v>
      </c>
    </row>
    <row r="561" spans="1:8" x14ac:dyDescent="0.2">
      <c r="A561" s="75"/>
      <c r="B561" s="79">
        <v>0</v>
      </c>
      <c r="D561" s="75"/>
      <c r="E561" s="79">
        <v>0</v>
      </c>
      <c r="G561" s="75"/>
      <c r="H561" s="79">
        <v>0</v>
      </c>
    </row>
    <row r="562" spans="1:8" x14ac:dyDescent="0.2">
      <c r="A562" s="75"/>
      <c r="B562" s="79">
        <v>0</v>
      </c>
      <c r="D562" s="75"/>
      <c r="E562" s="79">
        <v>0</v>
      </c>
      <c r="G562" s="75"/>
      <c r="H562" s="79">
        <v>0</v>
      </c>
    </row>
    <row r="563" spans="1:8" x14ac:dyDescent="0.2">
      <c r="A563" s="75"/>
      <c r="B563" s="79">
        <v>0</v>
      </c>
      <c r="D563" s="75"/>
      <c r="E563" s="79">
        <v>0</v>
      </c>
      <c r="G563" s="75"/>
      <c r="H563" s="79">
        <v>0</v>
      </c>
    </row>
    <row r="564" spans="1:8" x14ac:dyDescent="0.2">
      <c r="A564" s="75"/>
      <c r="B564" s="79">
        <v>0</v>
      </c>
      <c r="D564" s="75"/>
      <c r="E564" s="79">
        <v>0</v>
      </c>
      <c r="G564" s="75"/>
      <c r="H564" s="79">
        <v>0</v>
      </c>
    </row>
    <row r="565" spans="1:8" x14ac:dyDescent="0.2">
      <c r="A565" s="75"/>
      <c r="B565" s="79">
        <v>0</v>
      </c>
      <c r="D565" s="75"/>
      <c r="E565" s="79">
        <v>0</v>
      </c>
      <c r="G565" s="75"/>
      <c r="H565" s="79">
        <v>0</v>
      </c>
    </row>
    <row r="566" spans="1:8" x14ac:dyDescent="0.2">
      <c r="A566" s="75"/>
      <c r="B566" s="79">
        <v>0</v>
      </c>
      <c r="D566" s="75"/>
      <c r="E566" s="79">
        <v>0</v>
      </c>
      <c r="G566" s="75"/>
      <c r="H566" s="79">
        <v>0</v>
      </c>
    </row>
    <row r="567" spans="1:8" x14ac:dyDescent="0.2">
      <c r="A567" s="75"/>
      <c r="B567" s="79">
        <v>0</v>
      </c>
      <c r="D567" s="75"/>
      <c r="E567" s="79">
        <v>0</v>
      </c>
      <c r="G567" s="75"/>
      <c r="H567" s="79">
        <v>0</v>
      </c>
    </row>
    <row r="568" spans="1:8" x14ac:dyDescent="0.2">
      <c r="A568" s="75"/>
      <c r="B568" s="79">
        <v>0</v>
      </c>
      <c r="D568" s="75"/>
      <c r="E568" s="79">
        <v>0</v>
      </c>
      <c r="G568" s="75"/>
      <c r="H568" s="79">
        <v>0</v>
      </c>
    </row>
    <row r="569" spans="1:8" x14ac:dyDescent="0.2">
      <c r="A569" s="75"/>
      <c r="B569" s="79">
        <v>0</v>
      </c>
      <c r="D569" s="75"/>
      <c r="E569" s="79">
        <v>0</v>
      </c>
      <c r="G569" s="75"/>
      <c r="H569" s="79">
        <v>0</v>
      </c>
    </row>
    <row r="570" spans="1:8" x14ac:dyDescent="0.2">
      <c r="A570" s="75"/>
      <c r="B570" s="79">
        <v>0</v>
      </c>
      <c r="D570" s="75"/>
      <c r="E570" s="79">
        <v>0</v>
      </c>
      <c r="G570" s="75"/>
      <c r="H570" s="79">
        <v>0</v>
      </c>
    </row>
    <row r="571" spans="1:8" x14ac:dyDescent="0.2">
      <c r="A571" s="75"/>
      <c r="B571" s="79">
        <v>0</v>
      </c>
      <c r="D571" s="75"/>
      <c r="E571" s="79">
        <v>0</v>
      </c>
      <c r="G571" s="75"/>
      <c r="H571" s="79">
        <v>0</v>
      </c>
    </row>
    <row r="572" spans="1:8" x14ac:dyDescent="0.2">
      <c r="A572" s="75"/>
      <c r="B572" s="79">
        <v>0</v>
      </c>
      <c r="D572" s="75"/>
      <c r="E572" s="79">
        <v>0</v>
      </c>
      <c r="G572" s="75"/>
      <c r="H572" s="79">
        <v>0</v>
      </c>
    </row>
    <row r="573" spans="1:8" x14ac:dyDescent="0.2">
      <c r="A573" s="75"/>
      <c r="B573" s="79">
        <v>0</v>
      </c>
      <c r="D573" s="75"/>
      <c r="E573" s="79">
        <v>0</v>
      </c>
      <c r="G573" s="75"/>
      <c r="H573" s="79">
        <v>0</v>
      </c>
    </row>
    <row r="574" spans="1:8" x14ac:dyDescent="0.2">
      <c r="A574" s="75"/>
      <c r="B574" s="79">
        <v>0</v>
      </c>
      <c r="D574" s="75"/>
      <c r="E574" s="79">
        <v>0</v>
      </c>
      <c r="G574" s="75"/>
      <c r="H574" s="79">
        <v>0</v>
      </c>
    </row>
    <row r="575" spans="1:8" x14ac:dyDescent="0.2">
      <c r="A575" s="75"/>
      <c r="B575" s="79">
        <v>0</v>
      </c>
      <c r="D575" s="75"/>
      <c r="E575" s="79">
        <v>0</v>
      </c>
      <c r="G575" s="75"/>
      <c r="H575" s="79">
        <v>0</v>
      </c>
    </row>
    <row r="576" spans="1:8" x14ac:dyDescent="0.2">
      <c r="A576" s="75"/>
      <c r="B576" s="79">
        <v>0</v>
      </c>
      <c r="D576" s="75"/>
      <c r="E576" s="79">
        <v>0</v>
      </c>
      <c r="G576" s="75"/>
      <c r="H576" s="79">
        <v>0</v>
      </c>
    </row>
    <row r="577" spans="1:8" x14ac:dyDescent="0.2">
      <c r="A577" s="75"/>
      <c r="B577" s="79">
        <v>0</v>
      </c>
      <c r="D577" s="75"/>
      <c r="E577" s="79">
        <v>0</v>
      </c>
      <c r="G577" s="75"/>
      <c r="H577" s="79">
        <v>0</v>
      </c>
    </row>
    <row r="578" spans="1:8" x14ac:dyDescent="0.2">
      <c r="A578" s="75"/>
      <c r="B578" s="79">
        <v>0</v>
      </c>
      <c r="D578" s="75"/>
      <c r="E578" s="79">
        <v>0</v>
      </c>
      <c r="G578" s="75"/>
      <c r="H578" s="79">
        <v>0</v>
      </c>
    </row>
    <row r="579" spans="1:8" x14ac:dyDescent="0.2">
      <c r="A579" s="75"/>
      <c r="B579" s="79">
        <v>0</v>
      </c>
      <c r="D579" s="75"/>
      <c r="E579" s="79">
        <v>0</v>
      </c>
      <c r="G579" s="75"/>
      <c r="H579" s="79">
        <v>0</v>
      </c>
    </row>
    <row r="580" spans="1:8" x14ac:dyDescent="0.2">
      <c r="A580" s="75"/>
      <c r="B580" s="79">
        <v>0</v>
      </c>
      <c r="D580" s="75"/>
      <c r="E580" s="79">
        <v>0</v>
      </c>
      <c r="G580" s="75"/>
      <c r="H580" s="79">
        <v>0</v>
      </c>
    </row>
    <row r="581" spans="1:8" x14ac:dyDescent="0.2">
      <c r="A581" s="75"/>
      <c r="B581" s="79">
        <v>0</v>
      </c>
      <c r="D581" s="75"/>
      <c r="E581" s="79">
        <v>0</v>
      </c>
      <c r="G581" s="75"/>
      <c r="H581" s="79">
        <v>0</v>
      </c>
    </row>
    <row r="582" spans="1:8" x14ac:dyDescent="0.2">
      <c r="A582" s="75"/>
      <c r="B582" s="79">
        <v>0</v>
      </c>
      <c r="D582" s="75"/>
      <c r="E582" s="79">
        <v>0</v>
      </c>
      <c r="G582" s="75"/>
      <c r="H582" s="79">
        <v>0</v>
      </c>
    </row>
    <row r="583" spans="1:8" x14ac:dyDescent="0.2">
      <c r="A583" s="75"/>
      <c r="B583" s="79">
        <v>0</v>
      </c>
      <c r="D583" s="75"/>
      <c r="E583" s="79">
        <v>0</v>
      </c>
      <c r="G583" s="75"/>
      <c r="H583" s="79">
        <v>0</v>
      </c>
    </row>
    <row r="584" spans="1:8" x14ac:dyDescent="0.2">
      <c r="A584" s="75"/>
      <c r="B584" s="79">
        <v>0</v>
      </c>
      <c r="D584" s="75"/>
      <c r="E584" s="79">
        <v>0</v>
      </c>
      <c r="G584" s="75"/>
      <c r="H584" s="79">
        <v>0</v>
      </c>
    </row>
    <row r="585" spans="1:8" x14ac:dyDescent="0.2">
      <c r="A585" s="75"/>
      <c r="B585" s="79">
        <v>0</v>
      </c>
      <c r="D585" s="75"/>
      <c r="E585" s="79">
        <v>0</v>
      </c>
      <c r="G585" s="75"/>
      <c r="H585" s="79">
        <v>0</v>
      </c>
    </row>
    <row r="586" spans="1:8" x14ac:dyDescent="0.2">
      <c r="A586" s="75"/>
      <c r="B586" s="79">
        <v>0</v>
      </c>
      <c r="D586" s="75"/>
      <c r="E586" s="79">
        <v>0</v>
      </c>
      <c r="G586" s="75"/>
      <c r="H586" s="79">
        <v>0</v>
      </c>
    </row>
    <row r="587" spans="1:8" x14ac:dyDescent="0.2">
      <c r="A587" s="75"/>
      <c r="B587" s="79">
        <v>0</v>
      </c>
      <c r="D587" s="75"/>
      <c r="E587" s="79">
        <v>0</v>
      </c>
      <c r="G587" s="75"/>
      <c r="H587" s="79">
        <v>0</v>
      </c>
    </row>
    <row r="588" spans="1:8" x14ac:dyDescent="0.2">
      <c r="A588" s="75"/>
      <c r="B588" s="79">
        <v>0</v>
      </c>
      <c r="D588" s="75"/>
      <c r="E588" s="79">
        <v>0</v>
      </c>
      <c r="G588" s="75"/>
      <c r="H588" s="79">
        <v>0</v>
      </c>
    </row>
    <row r="589" spans="1:8" x14ac:dyDescent="0.2">
      <c r="A589" s="75"/>
      <c r="B589" s="79">
        <v>0</v>
      </c>
      <c r="D589" s="75"/>
      <c r="E589" s="79">
        <v>0</v>
      </c>
      <c r="G589" s="75"/>
      <c r="H589" s="79">
        <v>0</v>
      </c>
    </row>
    <row r="590" spans="1:8" x14ac:dyDescent="0.2">
      <c r="A590" s="75"/>
      <c r="B590" s="79">
        <v>0</v>
      </c>
      <c r="D590" s="75"/>
      <c r="E590" s="79">
        <v>0</v>
      </c>
      <c r="G590" s="75"/>
      <c r="H590" s="79">
        <v>0</v>
      </c>
    </row>
    <row r="591" spans="1:8" x14ac:dyDescent="0.2">
      <c r="A591" s="75"/>
      <c r="B591" s="79">
        <v>0</v>
      </c>
      <c r="D591" s="75"/>
      <c r="E591" s="79">
        <v>0</v>
      </c>
      <c r="G591" s="75"/>
      <c r="H591" s="79">
        <v>0</v>
      </c>
    </row>
    <row r="592" spans="1:8" x14ac:dyDescent="0.2">
      <c r="A592" s="75"/>
      <c r="B592" s="79">
        <v>0</v>
      </c>
      <c r="D592" s="75"/>
      <c r="E592" s="79">
        <v>0</v>
      </c>
      <c r="G592" s="75"/>
      <c r="H592" s="79">
        <v>0</v>
      </c>
    </row>
    <row r="593" spans="1:8" x14ac:dyDescent="0.2">
      <c r="A593" s="75"/>
      <c r="B593" s="79">
        <v>0</v>
      </c>
      <c r="D593" s="75"/>
      <c r="E593" s="79">
        <v>0</v>
      </c>
      <c r="G593" s="75"/>
      <c r="H593" s="79">
        <v>0</v>
      </c>
    </row>
    <row r="594" spans="1:8" x14ac:dyDescent="0.2">
      <c r="A594" s="75"/>
      <c r="B594" s="79">
        <v>0</v>
      </c>
      <c r="D594" s="75"/>
      <c r="E594" s="79">
        <v>0</v>
      </c>
      <c r="G594" s="75"/>
      <c r="H594" s="79">
        <v>0</v>
      </c>
    </row>
    <row r="595" spans="1:8" x14ac:dyDescent="0.2">
      <c r="A595" s="75"/>
      <c r="B595" s="79">
        <v>0</v>
      </c>
      <c r="D595" s="75"/>
      <c r="E595" s="79">
        <v>0</v>
      </c>
      <c r="G595" s="75"/>
      <c r="H595" s="79">
        <v>0</v>
      </c>
    </row>
    <row r="596" spans="1:8" x14ac:dyDescent="0.2">
      <c r="A596" s="75"/>
      <c r="B596" s="79">
        <v>0</v>
      </c>
      <c r="D596" s="75"/>
      <c r="E596" s="79">
        <v>0</v>
      </c>
      <c r="G596" s="75"/>
      <c r="H596" s="79">
        <v>0</v>
      </c>
    </row>
    <row r="597" spans="1:8" x14ac:dyDescent="0.2">
      <c r="A597" s="75"/>
      <c r="B597" s="79">
        <v>0</v>
      </c>
      <c r="D597" s="75"/>
      <c r="E597" s="79">
        <v>0</v>
      </c>
      <c r="G597" s="75"/>
      <c r="H597" s="79">
        <v>0</v>
      </c>
    </row>
    <row r="598" spans="1:8" x14ac:dyDescent="0.2">
      <c r="A598" s="75"/>
      <c r="B598" s="79">
        <v>0</v>
      </c>
      <c r="D598" s="75"/>
      <c r="E598" s="79">
        <v>0</v>
      </c>
      <c r="G598" s="75"/>
      <c r="H598" s="79">
        <v>0</v>
      </c>
    </row>
    <row r="599" spans="1:8" x14ac:dyDescent="0.2">
      <c r="A599" s="75"/>
      <c r="B599" s="79">
        <v>0</v>
      </c>
      <c r="D599" s="75"/>
      <c r="E599" s="79">
        <v>0</v>
      </c>
      <c r="G599" s="75"/>
      <c r="H599" s="79">
        <v>0</v>
      </c>
    </row>
    <row r="600" spans="1:8" x14ac:dyDescent="0.2">
      <c r="A600" s="75"/>
      <c r="B600" s="79">
        <v>0</v>
      </c>
      <c r="D600" s="75"/>
      <c r="E600" s="79">
        <v>0</v>
      </c>
      <c r="G600" s="75"/>
      <c r="H600" s="79">
        <v>0</v>
      </c>
    </row>
    <row r="601" spans="1:8" x14ac:dyDescent="0.2">
      <c r="A601" s="75"/>
      <c r="B601" s="79">
        <v>0</v>
      </c>
      <c r="D601" s="75"/>
      <c r="E601" s="79">
        <v>0</v>
      </c>
      <c r="G601" s="75"/>
      <c r="H601" s="79">
        <v>0</v>
      </c>
    </row>
    <row r="602" spans="1:8" x14ac:dyDescent="0.2">
      <c r="A602" s="75"/>
      <c r="B602" s="79">
        <v>0</v>
      </c>
      <c r="D602" s="75"/>
      <c r="E602" s="79">
        <v>0</v>
      </c>
      <c r="G602" s="75"/>
      <c r="H602" s="79">
        <v>0</v>
      </c>
    </row>
    <row r="603" spans="1:8" x14ac:dyDescent="0.2">
      <c r="A603" s="75"/>
      <c r="B603" s="79">
        <v>0</v>
      </c>
      <c r="D603" s="75"/>
      <c r="E603" s="79">
        <v>0</v>
      </c>
      <c r="G603" s="75"/>
      <c r="H603" s="79">
        <v>0</v>
      </c>
    </row>
    <row r="604" spans="1:8" x14ac:dyDescent="0.2">
      <c r="A604" s="75"/>
      <c r="B604" s="79">
        <v>0</v>
      </c>
      <c r="D604" s="75"/>
      <c r="E604" s="79">
        <v>0</v>
      </c>
      <c r="G604" s="75"/>
      <c r="H604" s="79">
        <v>0</v>
      </c>
    </row>
    <row r="605" spans="1:8" x14ac:dyDescent="0.2">
      <c r="A605" s="75"/>
      <c r="B605" s="79">
        <v>0</v>
      </c>
      <c r="D605" s="75"/>
      <c r="E605" s="79">
        <v>0</v>
      </c>
      <c r="G605" s="75"/>
      <c r="H605" s="79">
        <v>0</v>
      </c>
    </row>
    <row r="606" spans="1:8" x14ac:dyDescent="0.2">
      <c r="A606" s="75"/>
      <c r="B606" s="79">
        <v>0</v>
      </c>
      <c r="D606" s="75"/>
      <c r="E606" s="79">
        <v>0</v>
      </c>
      <c r="G606" s="75"/>
      <c r="H606" s="79">
        <v>0</v>
      </c>
    </row>
    <row r="607" spans="1:8" x14ac:dyDescent="0.2">
      <c r="A607" s="75"/>
      <c r="B607" s="79">
        <v>0</v>
      </c>
      <c r="D607" s="75"/>
      <c r="E607" s="79">
        <v>0</v>
      </c>
      <c r="G607" s="75"/>
      <c r="H607" s="79">
        <v>0</v>
      </c>
    </row>
    <row r="608" spans="1:8" x14ac:dyDescent="0.2">
      <c r="A608" s="75"/>
      <c r="B608" s="79">
        <v>0</v>
      </c>
      <c r="D608" s="75"/>
      <c r="E608" s="79">
        <v>0</v>
      </c>
      <c r="G608" s="75"/>
      <c r="H608" s="79">
        <v>0</v>
      </c>
    </row>
    <row r="609" spans="1:8" x14ac:dyDescent="0.2">
      <c r="A609" s="75"/>
      <c r="B609" s="79">
        <v>0</v>
      </c>
      <c r="D609" s="75"/>
      <c r="E609" s="79">
        <v>0</v>
      </c>
      <c r="G609" s="75"/>
      <c r="H609" s="79">
        <v>0</v>
      </c>
    </row>
    <row r="610" spans="1:8" x14ac:dyDescent="0.2">
      <c r="A610" s="75"/>
      <c r="B610" s="79">
        <v>0</v>
      </c>
      <c r="D610" s="75"/>
      <c r="E610" s="79">
        <v>0</v>
      </c>
      <c r="G610" s="75"/>
      <c r="H610" s="79">
        <v>0</v>
      </c>
    </row>
    <row r="611" spans="1:8" x14ac:dyDescent="0.2">
      <c r="A611" s="75"/>
      <c r="B611" s="79">
        <v>0</v>
      </c>
      <c r="D611" s="75"/>
      <c r="E611" s="79">
        <v>0</v>
      </c>
      <c r="G611" s="75"/>
      <c r="H611" s="79">
        <v>0</v>
      </c>
    </row>
    <row r="612" spans="1:8" x14ac:dyDescent="0.2">
      <c r="A612" s="75"/>
      <c r="B612" s="79">
        <v>0</v>
      </c>
      <c r="D612" s="75"/>
      <c r="E612" s="79">
        <v>0</v>
      </c>
      <c r="G612" s="75"/>
      <c r="H612" s="79">
        <v>0</v>
      </c>
    </row>
    <row r="613" spans="1:8" x14ac:dyDescent="0.2">
      <c r="A613" s="75"/>
      <c r="B613" s="79">
        <v>0</v>
      </c>
      <c r="D613" s="75"/>
      <c r="E613" s="79">
        <v>0</v>
      </c>
      <c r="G613" s="75"/>
      <c r="H613" s="79">
        <v>0</v>
      </c>
    </row>
    <row r="614" spans="1:8" x14ac:dyDescent="0.2">
      <c r="A614" s="75"/>
      <c r="B614" s="79">
        <v>0</v>
      </c>
      <c r="D614" s="75"/>
      <c r="E614" s="79">
        <v>0</v>
      </c>
      <c r="G614" s="75"/>
      <c r="H614" s="79">
        <v>0</v>
      </c>
    </row>
    <row r="615" spans="1:8" x14ac:dyDescent="0.2">
      <c r="A615" s="75"/>
      <c r="B615" s="79">
        <v>0</v>
      </c>
      <c r="D615" s="75"/>
      <c r="E615" s="79">
        <v>0</v>
      </c>
      <c r="G615" s="75"/>
      <c r="H615" s="79">
        <v>0</v>
      </c>
    </row>
    <row r="616" spans="1:8" x14ac:dyDescent="0.2">
      <c r="A616" s="75"/>
      <c r="B616" s="79">
        <v>0</v>
      </c>
      <c r="D616" s="75"/>
      <c r="E616" s="79">
        <v>0</v>
      </c>
      <c r="G616" s="75"/>
      <c r="H616" s="79">
        <v>0</v>
      </c>
    </row>
    <row r="617" spans="1:8" x14ac:dyDescent="0.2">
      <c r="A617" s="75"/>
      <c r="B617" s="79">
        <v>0</v>
      </c>
      <c r="D617" s="75"/>
      <c r="E617" s="79">
        <v>0</v>
      </c>
      <c r="G617" s="75"/>
      <c r="H617" s="79">
        <v>0</v>
      </c>
    </row>
    <row r="618" spans="1:8" x14ac:dyDescent="0.2">
      <c r="A618" s="75"/>
      <c r="B618" s="79">
        <v>0</v>
      </c>
      <c r="D618" s="75"/>
      <c r="E618" s="79">
        <v>0</v>
      </c>
      <c r="G618" s="75"/>
      <c r="H618" s="79">
        <v>0</v>
      </c>
    </row>
    <row r="619" spans="1:8" x14ac:dyDescent="0.2">
      <c r="A619" s="75"/>
      <c r="B619" s="79">
        <v>0</v>
      </c>
      <c r="D619" s="75"/>
      <c r="E619" s="79">
        <v>0</v>
      </c>
      <c r="G619" s="75"/>
      <c r="H619" s="79">
        <v>0</v>
      </c>
    </row>
    <row r="620" spans="1:8" x14ac:dyDescent="0.2">
      <c r="A620" s="75"/>
      <c r="B620" s="79">
        <v>0</v>
      </c>
      <c r="D620" s="75"/>
      <c r="E620" s="79">
        <v>0</v>
      </c>
      <c r="G620" s="75"/>
      <c r="H620" s="79">
        <v>0</v>
      </c>
    </row>
    <row r="621" spans="1:8" x14ac:dyDescent="0.2">
      <c r="A621" s="75"/>
      <c r="B621" s="79">
        <v>0</v>
      </c>
      <c r="D621" s="75"/>
      <c r="E621" s="79">
        <v>0</v>
      </c>
      <c r="G621" s="75"/>
      <c r="H621" s="79">
        <v>0</v>
      </c>
    </row>
    <row r="622" spans="1:8" x14ac:dyDescent="0.2">
      <c r="A622" s="75"/>
      <c r="B622" s="79">
        <v>0</v>
      </c>
      <c r="D622" s="75"/>
      <c r="E622" s="79">
        <v>0</v>
      </c>
      <c r="G622" s="75"/>
      <c r="H622" s="79">
        <v>0</v>
      </c>
    </row>
    <row r="623" spans="1:8" x14ac:dyDescent="0.2">
      <c r="A623" s="75"/>
      <c r="B623" s="79">
        <v>0</v>
      </c>
      <c r="D623" s="75"/>
      <c r="E623" s="79">
        <v>0</v>
      </c>
      <c r="G623" s="75"/>
      <c r="H623" s="79">
        <v>0</v>
      </c>
    </row>
    <row r="624" spans="1:8" x14ac:dyDescent="0.2">
      <c r="A624" s="75"/>
      <c r="B624" s="79">
        <v>0</v>
      </c>
      <c r="D624" s="75"/>
      <c r="E624" s="79">
        <v>0</v>
      </c>
      <c r="G624" s="75"/>
      <c r="H624" s="79">
        <v>0</v>
      </c>
    </row>
    <row r="625" spans="1:8" x14ac:dyDescent="0.2">
      <c r="A625" s="75"/>
      <c r="B625" s="79">
        <v>0</v>
      </c>
      <c r="D625" s="75"/>
      <c r="E625" s="79">
        <v>0</v>
      </c>
      <c r="G625" s="75"/>
      <c r="H625" s="79">
        <v>0</v>
      </c>
    </row>
    <row r="626" spans="1:8" x14ac:dyDescent="0.2">
      <c r="A626" s="75"/>
      <c r="B626" s="79">
        <v>0</v>
      </c>
      <c r="D626" s="75"/>
      <c r="E626" s="79">
        <v>0</v>
      </c>
      <c r="G626" s="75"/>
      <c r="H626" s="79">
        <v>0</v>
      </c>
    </row>
    <row r="627" spans="1:8" x14ac:dyDescent="0.2">
      <c r="A627" s="75"/>
      <c r="B627" s="79">
        <v>0</v>
      </c>
      <c r="D627" s="75"/>
      <c r="E627" s="79">
        <v>0</v>
      </c>
      <c r="G627" s="75"/>
      <c r="H627" s="79">
        <v>0</v>
      </c>
    </row>
    <row r="628" spans="1:8" x14ac:dyDescent="0.2">
      <c r="A628" s="75"/>
      <c r="B628" s="79">
        <v>0</v>
      </c>
      <c r="D628" s="75"/>
      <c r="E628" s="79">
        <v>0</v>
      </c>
      <c r="G628" s="75"/>
      <c r="H628" s="79">
        <v>0</v>
      </c>
    </row>
    <row r="629" spans="1:8" x14ac:dyDescent="0.2">
      <c r="A629" s="75"/>
      <c r="B629" s="79">
        <v>0</v>
      </c>
      <c r="D629" s="75"/>
      <c r="E629" s="79">
        <v>0</v>
      </c>
      <c r="G629" s="75"/>
      <c r="H629" s="79">
        <v>0</v>
      </c>
    </row>
    <row r="630" spans="1:8" x14ac:dyDescent="0.2">
      <c r="A630" s="75"/>
      <c r="B630" s="79">
        <v>0</v>
      </c>
      <c r="D630" s="75"/>
      <c r="E630" s="79">
        <v>0</v>
      </c>
      <c r="G630" s="75"/>
      <c r="H630" s="79">
        <v>0</v>
      </c>
    </row>
    <row r="631" spans="1:8" x14ac:dyDescent="0.2">
      <c r="A631" s="75"/>
      <c r="B631" s="79">
        <v>0</v>
      </c>
      <c r="D631" s="75"/>
      <c r="E631" s="79">
        <v>0</v>
      </c>
      <c r="G631" s="75"/>
      <c r="H631" s="79">
        <v>0</v>
      </c>
    </row>
    <row r="632" spans="1:8" x14ac:dyDescent="0.2">
      <c r="A632" s="75"/>
      <c r="B632" s="79">
        <v>0</v>
      </c>
      <c r="D632" s="75"/>
      <c r="E632" s="79">
        <v>0</v>
      </c>
      <c r="G632" s="75"/>
      <c r="H632" s="79">
        <v>0</v>
      </c>
    </row>
    <row r="633" spans="1:8" x14ac:dyDescent="0.2">
      <c r="A633" s="75"/>
      <c r="B633" s="79">
        <v>0</v>
      </c>
      <c r="D633" s="75"/>
      <c r="E633" s="79">
        <v>0</v>
      </c>
      <c r="G633" s="75"/>
      <c r="H633" s="79">
        <v>0</v>
      </c>
    </row>
    <row r="634" spans="1:8" x14ac:dyDescent="0.2">
      <c r="A634" s="75"/>
      <c r="B634" s="79">
        <v>0</v>
      </c>
      <c r="D634" s="75"/>
      <c r="E634" s="79">
        <v>0</v>
      </c>
      <c r="G634" s="75"/>
      <c r="H634" s="79">
        <v>0</v>
      </c>
    </row>
    <row r="635" spans="1:8" x14ac:dyDescent="0.2">
      <c r="A635" s="75"/>
      <c r="B635" s="79">
        <v>0</v>
      </c>
      <c r="D635" s="75"/>
      <c r="E635" s="79">
        <v>0</v>
      </c>
      <c r="G635" s="75"/>
      <c r="H635" s="79">
        <v>0</v>
      </c>
    </row>
    <row r="636" spans="1:8" x14ac:dyDescent="0.2">
      <c r="A636" s="75"/>
      <c r="B636" s="79">
        <v>0</v>
      </c>
      <c r="D636" s="75"/>
      <c r="E636" s="79">
        <v>0</v>
      </c>
      <c r="G636" s="75"/>
      <c r="H636" s="79">
        <v>0</v>
      </c>
    </row>
    <row r="637" spans="1:8" x14ac:dyDescent="0.2">
      <c r="A637" s="75"/>
      <c r="B637" s="79">
        <v>0</v>
      </c>
      <c r="D637" s="75"/>
      <c r="E637" s="79">
        <v>0</v>
      </c>
      <c r="G637" s="75"/>
      <c r="H637" s="79">
        <v>0</v>
      </c>
    </row>
    <row r="638" spans="1:8" x14ac:dyDescent="0.2">
      <c r="A638" s="75"/>
      <c r="B638" s="79">
        <v>0</v>
      </c>
      <c r="D638" s="75"/>
      <c r="E638" s="79">
        <v>0</v>
      </c>
      <c r="G638" s="75"/>
      <c r="H638" s="79">
        <v>0</v>
      </c>
    </row>
    <row r="639" spans="1:8" x14ac:dyDescent="0.2">
      <c r="A639" s="75"/>
      <c r="B639" s="79">
        <v>0</v>
      </c>
      <c r="D639" s="75"/>
      <c r="E639" s="79">
        <v>0</v>
      </c>
      <c r="G639" s="75"/>
      <c r="H639" s="79">
        <v>0</v>
      </c>
    </row>
    <row r="640" spans="1:8" x14ac:dyDescent="0.2">
      <c r="A640" s="75"/>
      <c r="B640" s="79">
        <v>0</v>
      </c>
      <c r="D640" s="75"/>
      <c r="E640" s="79">
        <v>0</v>
      </c>
      <c r="G640" s="75"/>
      <c r="H640" s="79">
        <v>0</v>
      </c>
    </row>
    <row r="641" spans="1:8" x14ac:dyDescent="0.2">
      <c r="A641" s="75"/>
      <c r="B641" s="79">
        <v>0</v>
      </c>
      <c r="D641" s="75"/>
      <c r="E641" s="79">
        <v>0</v>
      </c>
      <c r="G641" s="75"/>
      <c r="H641" s="79">
        <v>0</v>
      </c>
    </row>
    <row r="642" spans="1:8" x14ac:dyDescent="0.2">
      <c r="A642" s="75"/>
      <c r="B642" s="79">
        <v>0</v>
      </c>
      <c r="D642" s="75"/>
      <c r="E642" s="79">
        <v>0</v>
      </c>
      <c r="G642" s="75"/>
      <c r="H642" s="79">
        <v>0</v>
      </c>
    </row>
    <row r="643" spans="1:8" x14ac:dyDescent="0.2">
      <c r="A643" s="75"/>
      <c r="B643" s="79">
        <v>0</v>
      </c>
      <c r="D643" s="75"/>
      <c r="E643" s="79">
        <v>0</v>
      </c>
      <c r="G643" s="75"/>
      <c r="H643" s="79">
        <v>0</v>
      </c>
    </row>
    <row r="644" spans="1:8" x14ac:dyDescent="0.2">
      <c r="A644" s="75"/>
      <c r="B644" s="79">
        <v>0</v>
      </c>
      <c r="D644" s="75"/>
      <c r="E644" s="79">
        <v>0</v>
      </c>
      <c r="G644" s="75"/>
      <c r="H644" s="79">
        <v>0</v>
      </c>
    </row>
    <row r="645" spans="1:8" x14ac:dyDescent="0.2">
      <c r="A645" s="75"/>
      <c r="B645" s="79">
        <v>0</v>
      </c>
      <c r="D645" s="75"/>
      <c r="E645" s="79">
        <v>0</v>
      </c>
      <c r="G645" s="75"/>
      <c r="H645" s="79">
        <v>0</v>
      </c>
    </row>
    <row r="646" spans="1:8" x14ac:dyDescent="0.2">
      <c r="A646" s="75"/>
      <c r="B646" s="79">
        <v>0</v>
      </c>
      <c r="D646" s="75"/>
      <c r="E646" s="79">
        <v>0</v>
      </c>
      <c r="G646" s="75"/>
      <c r="H646" s="79">
        <v>0</v>
      </c>
    </row>
    <row r="647" spans="1:8" x14ac:dyDescent="0.2">
      <c r="A647" s="75"/>
      <c r="B647" s="79">
        <v>0</v>
      </c>
      <c r="D647" s="75"/>
      <c r="E647" s="79">
        <v>0</v>
      </c>
      <c r="G647" s="75"/>
      <c r="H647" s="79">
        <v>0</v>
      </c>
    </row>
    <row r="648" spans="1:8" x14ac:dyDescent="0.2">
      <c r="A648" s="75"/>
      <c r="B648" s="79">
        <v>0</v>
      </c>
      <c r="D648" s="75"/>
      <c r="E648" s="79">
        <v>0</v>
      </c>
      <c r="G648" s="75"/>
      <c r="H648" s="79">
        <v>0</v>
      </c>
    </row>
    <row r="649" spans="1:8" x14ac:dyDescent="0.2">
      <c r="A649" s="75"/>
      <c r="B649" s="79">
        <v>0</v>
      </c>
      <c r="D649" s="75"/>
      <c r="E649" s="79">
        <v>0</v>
      </c>
      <c r="G649" s="75"/>
      <c r="H649" s="79">
        <v>0</v>
      </c>
    </row>
    <row r="650" spans="1:8" x14ac:dyDescent="0.2">
      <c r="A650" s="75"/>
      <c r="B650" s="79">
        <v>0</v>
      </c>
      <c r="D650" s="75"/>
      <c r="E650" s="79">
        <v>0</v>
      </c>
      <c r="G650" s="75"/>
      <c r="H650" s="79">
        <v>0</v>
      </c>
    </row>
    <row r="651" spans="1:8" x14ac:dyDescent="0.2">
      <c r="A651" s="75"/>
      <c r="B651" s="79">
        <v>0</v>
      </c>
      <c r="D651" s="75"/>
      <c r="E651" s="79">
        <v>0</v>
      </c>
      <c r="G651" s="75"/>
      <c r="H651" s="79">
        <v>0</v>
      </c>
    </row>
    <row r="652" spans="1:8" x14ac:dyDescent="0.2">
      <c r="A652" s="75"/>
      <c r="B652" s="79">
        <v>0</v>
      </c>
      <c r="D652" s="75"/>
      <c r="E652" s="79">
        <v>0</v>
      </c>
      <c r="G652" s="75"/>
      <c r="H652" s="79">
        <v>0</v>
      </c>
    </row>
    <row r="653" spans="1:8" x14ac:dyDescent="0.2">
      <c r="A653" s="75"/>
      <c r="B653" s="79">
        <v>0</v>
      </c>
      <c r="D653" s="75"/>
      <c r="E653" s="79">
        <v>0</v>
      </c>
      <c r="G653" s="75"/>
      <c r="H653" s="79">
        <v>0</v>
      </c>
    </row>
    <row r="654" spans="1:8" x14ac:dyDescent="0.2">
      <c r="A654" s="75"/>
      <c r="B654" s="79">
        <v>0</v>
      </c>
      <c r="D654" s="75"/>
      <c r="E654" s="79">
        <v>0</v>
      </c>
      <c r="G654" s="75"/>
      <c r="H654" s="79">
        <v>0</v>
      </c>
    </row>
    <row r="655" spans="1:8" x14ac:dyDescent="0.2">
      <c r="A655" s="75"/>
      <c r="B655" s="79">
        <v>0</v>
      </c>
      <c r="D655" s="75"/>
      <c r="E655" s="79">
        <v>0</v>
      </c>
      <c r="G655" s="75"/>
      <c r="H655" s="79">
        <v>0</v>
      </c>
    </row>
    <row r="656" spans="1:8" x14ac:dyDescent="0.2">
      <c r="A656" s="75"/>
      <c r="B656" s="79">
        <v>0</v>
      </c>
      <c r="D656" s="75"/>
      <c r="E656" s="79">
        <v>0</v>
      </c>
      <c r="G656" s="75"/>
      <c r="H656" s="79">
        <v>0</v>
      </c>
    </row>
    <row r="657" spans="1:8" x14ac:dyDescent="0.2">
      <c r="A657" s="75"/>
      <c r="B657" s="79">
        <v>0</v>
      </c>
      <c r="D657" s="75"/>
      <c r="E657" s="79">
        <v>0</v>
      </c>
      <c r="G657" s="75"/>
      <c r="H657" s="79">
        <v>0</v>
      </c>
    </row>
    <row r="658" spans="1:8" x14ac:dyDescent="0.2">
      <c r="A658" s="75"/>
      <c r="B658" s="79">
        <v>0</v>
      </c>
      <c r="D658" s="75"/>
      <c r="E658" s="79">
        <v>0</v>
      </c>
      <c r="G658" s="75"/>
      <c r="H658" s="79">
        <v>0</v>
      </c>
    </row>
    <row r="659" spans="1:8" x14ac:dyDescent="0.2">
      <c r="A659" s="75"/>
      <c r="B659" s="79">
        <v>0</v>
      </c>
      <c r="D659" s="75"/>
      <c r="E659" s="79">
        <v>0</v>
      </c>
      <c r="G659" s="75"/>
      <c r="H659" s="79">
        <v>0</v>
      </c>
    </row>
    <row r="660" spans="1:8" x14ac:dyDescent="0.2">
      <c r="A660" s="75"/>
      <c r="B660" s="79">
        <v>0</v>
      </c>
      <c r="D660" s="75"/>
      <c r="E660" s="79">
        <v>0</v>
      </c>
      <c r="G660" s="75"/>
      <c r="H660" s="79">
        <v>0</v>
      </c>
    </row>
    <row r="661" spans="1:8" x14ac:dyDescent="0.2">
      <c r="A661" s="75"/>
      <c r="B661" s="79">
        <v>0</v>
      </c>
      <c r="D661" s="75"/>
      <c r="E661" s="79">
        <v>0</v>
      </c>
      <c r="G661" s="75"/>
      <c r="H661" s="79">
        <v>0</v>
      </c>
    </row>
    <row r="662" spans="1:8" x14ac:dyDescent="0.2">
      <c r="A662" s="75"/>
      <c r="B662" s="79">
        <v>0</v>
      </c>
      <c r="D662" s="75"/>
      <c r="E662" s="79">
        <v>0</v>
      </c>
      <c r="G662" s="75"/>
      <c r="H662" s="79">
        <v>0</v>
      </c>
    </row>
    <row r="663" spans="1:8" x14ac:dyDescent="0.2">
      <c r="A663" s="75"/>
      <c r="B663" s="79">
        <v>0</v>
      </c>
      <c r="D663" s="75"/>
      <c r="E663" s="79">
        <v>0</v>
      </c>
      <c r="G663" s="75"/>
      <c r="H663" s="79">
        <v>0</v>
      </c>
    </row>
    <row r="664" spans="1:8" x14ac:dyDescent="0.2">
      <c r="A664" s="75"/>
      <c r="B664" s="79">
        <v>0</v>
      </c>
      <c r="D664" s="75"/>
      <c r="E664" s="79">
        <v>0</v>
      </c>
      <c r="G664" s="75"/>
      <c r="H664" s="79">
        <v>0</v>
      </c>
    </row>
    <row r="665" spans="1:8" x14ac:dyDescent="0.2">
      <c r="A665" s="75"/>
      <c r="B665" s="79">
        <v>0</v>
      </c>
      <c r="D665" s="75"/>
      <c r="E665" s="79">
        <v>0</v>
      </c>
      <c r="G665" s="75"/>
      <c r="H665" s="79">
        <v>0</v>
      </c>
    </row>
    <row r="666" spans="1:8" x14ac:dyDescent="0.2">
      <c r="A666" s="75"/>
      <c r="B666" s="79">
        <v>0</v>
      </c>
      <c r="D666" s="75"/>
      <c r="E666" s="79">
        <v>0</v>
      </c>
      <c r="G666" s="75"/>
      <c r="H666" s="79">
        <v>0</v>
      </c>
    </row>
    <row r="667" spans="1:8" x14ac:dyDescent="0.2">
      <c r="A667" s="75"/>
      <c r="B667" s="79">
        <v>0</v>
      </c>
      <c r="D667" s="75"/>
      <c r="E667" s="79">
        <v>0</v>
      </c>
      <c r="G667" s="75"/>
      <c r="H667" s="79">
        <v>0</v>
      </c>
    </row>
    <row r="668" spans="1:8" x14ac:dyDescent="0.2">
      <c r="A668" s="75"/>
      <c r="B668" s="79">
        <v>0</v>
      </c>
      <c r="D668" s="75"/>
      <c r="E668" s="79">
        <v>0</v>
      </c>
      <c r="G668" s="75"/>
      <c r="H668" s="79">
        <v>0</v>
      </c>
    </row>
    <row r="669" spans="1:8" x14ac:dyDescent="0.2">
      <c r="A669" s="75"/>
      <c r="B669" s="79">
        <v>0</v>
      </c>
      <c r="D669" s="75"/>
      <c r="E669" s="79">
        <v>0</v>
      </c>
      <c r="G669" s="75"/>
      <c r="H669" s="79">
        <v>0</v>
      </c>
    </row>
    <row r="670" spans="1:8" x14ac:dyDescent="0.2">
      <c r="A670" s="75"/>
      <c r="B670" s="79">
        <v>0</v>
      </c>
      <c r="D670" s="75"/>
      <c r="E670" s="79">
        <v>0</v>
      </c>
      <c r="G670" s="75"/>
      <c r="H670" s="79">
        <v>0</v>
      </c>
    </row>
    <row r="671" spans="1:8" x14ac:dyDescent="0.2">
      <c r="A671" s="75"/>
      <c r="B671" s="79">
        <v>0</v>
      </c>
      <c r="D671" s="75"/>
      <c r="E671" s="79">
        <v>0</v>
      </c>
      <c r="G671" s="75"/>
      <c r="H671" s="79">
        <v>0</v>
      </c>
    </row>
    <row r="672" spans="1:8" x14ac:dyDescent="0.2">
      <c r="A672" s="75"/>
      <c r="B672" s="79">
        <v>0</v>
      </c>
      <c r="D672" s="75"/>
      <c r="E672" s="79">
        <v>0</v>
      </c>
      <c r="G672" s="75"/>
      <c r="H672" s="79">
        <v>0</v>
      </c>
    </row>
    <row r="673" spans="1:8" x14ac:dyDescent="0.2">
      <c r="A673" s="75"/>
      <c r="B673" s="79">
        <v>0</v>
      </c>
      <c r="D673" s="75"/>
      <c r="E673" s="79">
        <v>0</v>
      </c>
      <c r="G673" s="75"/>
      <c r="H673" s="79">
        <v>0</v>
      </c>
    </row>
    <row r="674" spans="1:8" x14ac:dyDescent="0.2">
      <c r="A674" s="75"/>
      <c r="B674" s="79">
        <v>0</v>
      </c>
      <c r="D674" s="75"/>
      <c r="E674" s="79">
        <v>0</v>
      </c>
      <c r="G674" s="75"/>
      <c r="H674" s="79">
        <v>0</v>
      </c>
    </row>
    <row r="675" spans="1:8" x14ac:dyDescent="0.2">
      <c r="A675" s="75"/>
      <c r="B675" s="79">
        <v>0</v>
      </c>
      <c r="D675" s="75"/>
      <c r="E675" s="79">
        <v>0</v>
      </c>
      <c r="G675" s="75"/>
      <c r="H675" s="79">
        <v>0</v>
      </c>
    </row>
    <row r="676" spans="1:8" x14ac:dyDescent="0.2">
      <c r="A676" s="75"/>
      <c r="B676" s="79">
        <v>0</v>
      </c>
      <c r="D676" s="75"/>
      <c r="E676" s="79">
        <v>0</v>
      </c>
      <c r="G676" s="75"/>
      <c r="H676" s="79">
        <v>0</v>
      </c>
    </row>
    <row r="677" spans="1:8" x14ac:dyDescent="0.2">
      <c r="A677" s="75"/>
      <c r="B677" s="79">
        <v>0</v>
      </c>
      <c r="D677" s="75"/>
      <c r="E677" s="79">
        <v>0</v>
      </c>
      <c r="G677" s="75"/>
      <c r="H677" s="79">
        <v>0</v>
      </c>
    </row>
    <row r="678" spans="1:8" x14ac:dyDescent="0.2">
      <c r="A678" s="75"/>
      <c r="B678" s="79">
        <v>0</v>
      </c>
      <c r="D678" s="75"/>
      <c r="E678" s="79">
        <v>0</v>
      </c>
      <c r="G678" s="75"/>
      <c r="H678" s="79">
        <v>0</v>
      </c>
    </row>
    <row r="679" spans="1:8" x14ac:dyDescent="0.2">
      <c r="A679" s="75"/>
      <c r="B679" s="79">
        <v>0</v>
      </c>
      <c r="D679" s="75"/>
      <c r="E679" s="79">
        <v>0</v>
      </c>
      <c r="G679" s="75"/>
      <c r="H679" s="79">
        <v>0</v>
      </c>
    </row>
    <row r="680" spans="1:8" x14ac:dyDescent="0.2">
      <c r="A680" s="75"/>
      <c r="B680" s="79">
        <v>0</v>
      </c>
      <c r="D680" s="75"/>
      <c r="E680" s="79">
        <v>0</v>
      </c>
      <c r="G680" s="75"/>
      <c r="H680" s="79">
        <v>0</v>
      </c>
    </row>
    <row r="681" spans="1:8" x14ac:dyDescent="0.2">
      <c r="A681" s="75"/>
      <c r="B681" s="79">
        <v>0</v>
      </c>
      <c r="D681" s="75"/>
      <c r="E681" s="79">
        <v>0</v>
      </c>
      <c r="G681" s="75"/>
      <c r="H681" s="79">
        <v>0</v>
      </c>
    </row>
    <row r="682" spans="1:8" x14ac:dyDescent="0.2">
      <c r="A682" s="75"/>
      <c r="B682" s="79">
        <v>0</v>
      </c>
      <c r="D682" s="75"/>
      <c r="E682" s="79">
        <v>0</v>
      </c>
      <c r="G682" s="75"/>
      <c r="H682" s="79">
        <v>0</v>
      </c>
    </row>
    <row r="683" spans="1:8" x14ac:dyDescent="0.2">
      <c r="A683" s="75"/>
      <c r="B683" s="79">
        <v>0</v>
      </c>
      <c r="D683" s="75"/>
      <c r="E683" s="79">
        <v>0</v>
      </c>
      <c r="G683" s="75"/>
      <c r="H683" s="79">
        <v>0</v>
      </c>
    </row>
    <row r="684" spans="1:8" x14ac:dyDescent="0.2">
      <c r="A684" s="75"/>
      <c r="B684" s="79">
        <v>0</v>
      </c>
      <c r="D684" s="75"/>
      <c r="E684" s="79">
        <v>0</v>
      </c>
      <c r="G684" s="75"/>
      <c r="H684" s="79">
        <v>0</v>
      </c>
    </row>
    <row r="685" spans="1:8" x14ac:dyDescent="0.2">
      <c r="A685" s="75"/>
      <c r="B685" s="79">
        <v>0</v>
      </c>
      <c r="D685" s="75"/>
      <c r="E685" s="79">
        <v>0</v>
      </c>
      <c r="G685" s="75"/>
      <c r="H685" s="79">
        <v>0</v>
      </c>
    </row>
    <row r="686" spans="1:8" x14ac:dyDescent="0.2">
      <c r="A686" s="75"/>
      <c r="B686" s="79">
        <v>0</v>
      </c>
      <c r="D686" s="75"/>
      <c r="E686" s="79">
        <v>0</v>
      </c>
      <c r="G686" s="75"/>
      <c r="H686" s="79">
        <v>0</v>
      </c>
    </row>
    <row r="687" spans="1:8" x14ac:dyDescent="0.2">
      <c r="A687" s="75"/>
      <c r="B687" s="79">
        <v>0</v>
      </c>
      <c r="D687" s="75"/>
      <c r="E687" s="79">
        <v>0</v>
      </c>
      <c r="G687" s="75"/>
      <c r="H687" s="79">
        <v>0</v>
      </c>
    </row>
    <row r="688" spans="1:8" x14ac:dyDescent="0.2">
      <c r="A688" s="75"/>
      <c r="B688" s="79">
        <v>0</v>
      </c>
      <c r="D688" s="75"/>
      <c r="E688" s="79">
        <v>0</v>
      </c>
      <c r="G688" s="75"/>
      <c r="H688" s="79">
        <v>0</v>
      </c>
    </row>
    <row r="689" spans="1:8" x14ac:dyDescent="0.2">
      <c r="A689" s="75"/>
      <c r="B689" s="79">
        <v>0</v>
      </c>
      <c r="D689" s="75"/>
      <c r="E689" s="79">
        <v>0</v>
      </c>
      <c r="G689" s="75"/>
      <c r="H689" s="79">
        <v>0</v>
      </c>
    </row>
    <row r="690" spans="1:8" x14ac:dyDescent="0.2">
      <c r="A690" s="75"/>
      <c r="B690" s="79">
        <v>0</v>
      </c>
      <c r="D690" s="75"/>
      <c r="E690" s="79">
        <v>0</v>
      </c>
      <c r="G690" s="75"/>
      <c r="H690" s="79">
        <v>0</v>
      </c>
    </row>
    <row r="691" spans="1:8" x14ac:dyDescent="0.2">
      <c r="A691" s="75"/>
      <c r="B691" s="79">
        <v>0</v>
      </c>
      <c r="D691" s="75"/>
      <c r="E691" s="79">
        <v>0</v>
      </c>
      <c r="G691" s="75"/>
      <c r="H691" s="79">
        <v>0</v>
      </c>
    </row>
    <row r="692" spans="1:8" x14ac:dyDescent="0.2">
      <c r="A692" s="75"/>
      <c r="B692" s="79">
        <v>0</v>
      </c>
      <c r="D692" s="75"/>
      <c r="E692" s="79">
        <v>0</v>
      </c>
      <c r="G692" s="75"/>
      <c r="H692" s="79">
        <v>0</v>
      </c>
    </row>
    <row r="693" spans="1:8" x14ac:dyDescent="0.2">
      <c r="A693" s="75"/>
      <c r="B693" s="79">
        <v>0</v>
      </c>
      <c r="D693" s="75"/>
      <c r="E693" s="79">
        <v>0</v>
      </c>
      <c r="G693" s="75"/>
      <c r="H693" s="79">
        <v>0</v>
      </c>
    </row>
    <row r="694" spans="1:8" x14ac:dyDescent="0.2">
      <c r="A694" s="75"/>
      <c r="B694" s="79">
        <v>0</v>
      </c>
      <c r="D694" s="75"/>
      <c r="E694" s="79">
        <v>0</v>
      </c>
      <c r="G694" s="75"/>
      <c r="H694" s="79">
        <v>0</v>
      </c>
    </row>
    <row r="695" spans="1:8" x14ac:dyDescent="0.2">
      <c r="A695" s="75"/>
      <c r="B695" s="79">
        <v>0</v>
      </c>
      <c r="D695" s="75"/>
      <c r="E695" s="79">
        <v>0</v>
      </c>
      <c r="G695" s="75"/>
      <c r="H695" s="79">
        <v>0</v>
      </c>
    </row>
    <row r="696" spans="1:8" x14ac:dyDescent="0.2">
      <c r="A696" s="75"/>
      <c r="B696" s="79">
        <v>0</v>
      </c>
      <c r="D696" s="75"/>
      <c r="E696" s="79">
        <v>0</v>
      </c>
      <c r="G696" s="75"/>
      <c r="H696" s="79">
        <v>0</v>
      </c>
    </row>
    <row r="697" spans="1:8" x14ac:dyDescent="0.2">
      <c r="A697" s="75"/>
      <c r="B697" s="79">
        <v>0</v>
      </c>
      <c r="D697" s="75"/>
      <c r="E697" s="79">
        <v>0</v>
      </c>
      <c r="G697" s="75"/>
      <c r="H697" s="79">
        <v>0</v>
      </c>
    </row>
    <row r="698" spans="1:8" x14ac:dyDescent="0.2">
      <c r="A698" s="75"/>
      <c r="B698" s="79">
        <v>0</v>
      </c>
      <c r="D698" s="75"/>
      <c r="E698" s="79">
        <v>0</v>
      </c>
      <c r="G698" s="75"/>
      <c r="H698" s="79">
        <v>0</v>
      </c>
    </row>
    <row r="699" spans="1:8" x14ac:dyDescent="0.2">
      <c r="A699" s="75"/>
      <c r="B699" s="79">
        <v>0</v>
      </c>
      <c r="D699" s="75"/>
      <c r="E699" s="79">
        <v>0</v>
      </c>
      <c r="G699" s="75"/>
      <c r="H699" s="79">
        <v>0</v>
      </c>
    </row>
    <row r="700" spans="1:8" x14ac:dyDescent="0.2">
      <c r="A700" s="75"/>
      <c r="B700" s="79">
        <v>0</v>
      </c>
      <c r="D700" s="75"/>
      <c r="E700" s="79">
        <v>0</v>
      </c>
      <c r="G700" s="75"/>
      <c r="H700" s="79">
        <v>0</v>
      </c>
    </row>
    <row r="701" spans="1:8" x14ac:dyDescent="0.2">
      <c r="A701" s="75"/>
      <c r="B701" s="79">
        <v>0</v>
      </c>
      <c r="D701" s="75"/>
      <c r="E701" s="79">
        <v>0</v>
      </c>
      <c r="G701" s="75"/>
      <c r="H701" s="79">
        <v>0</v>
      </c>
    </row>
    <row r="702" spans="1:8" x14ac:dyDescent="0.2">
      <c r="A702" s="75"/>
      <c r="B702" s="79">
        <v>0</v>
      </c>
      <c r="D702" s="75"/>
      <c r="E702" s="79">
        <v>0</v>
      </c>
      <c r="G702" s="75"/>
      <c r="H702" s="79">
        <v>0</v>
      </c>
    </row>
    <row r="703" spans="1:8" x14ac:dyDescent="0.2">
      <c r="A703" s="75"/>
      <c r="B703" s="79">
        <v>0</v>
      </c>
      <c r="D703" s="75"/>
      <c r="E703" s="79">
        <v>0</v>
      </c>
      <c r="G703" s="75"/>
      <c r="H703" s="79">
        <v>0</v>
      </c>
    </row>
    <row r="704" spans="1:8" x14ac:dyDescent="0.2">
      <c r="A704" s="75"/>
      <c r="B704" s="79">
        <v>0</v>
      </c>
      <c r="D704" s="75"/>
      <c r="E704" s="79">
        <v>0</v>
      </c>
      <c r="G704" s="75"/>
      <c r="H704" s="79">
        <v>0</v>
      </c>
    </row>
    <row r="705" spans="1:8" x14ac:dyDescent="0.2">
      <c r="A705" s="75"/>
      <c r="B705" s="79">
        <v>0</v>
      </c>
      <c r="D705" s="75"/>
      <c r="E705" s="79">
        <v>0</v>
      </c>
      <c r="G705" s="75"/>
      <c r="H705" s="79">
        <v>0</v>
      </c>
    </row>
    <row r="706" spans="1:8" x14ac:dyDescent="0.2">
      <c r="A706" s="75"/>
      <c r="B706" s="79">
        <v>0</v>
      </c>
      <c r="D706" s="75"/>
      <c r="E706" s="79">
        <v>0</v>
      </c>
      <c r="G706" s="75"/>
      <c r="H706" s="79">
        <v>0</v>
      </c>
    </row>
    <row r="707" spans="1:8" x14ac:dyDescent="0.2">
      <c r="A707" s="75"/>
      <c r="B707" s="79">
        <v>0</v>
      </c>
      <c r="D707" s="75"/>
      <c r="E707" s="79">
        <v>0</v>
      </c>
      <c r="G707" s="75"/>
      <c r="H707" s="79">
        <v>0</v>
      </c>
    </row>
    <row r="708" spans="1:8" x14ac:dyDescent="0.2">
      <c r="A708" s="75"/>
      <c r="B708" s="79">
        <v>0</v>
      </c>
      <c r="D708" s="75"/>
      <c r="E708" s="79">
        <v>0</v>
      </c>
      <c r="G708" s="75"/>
      <c r="H708" s="79">
        <v>0</v>
      </c>
    </row>
    <row r="709" spans="1:8" x14ac:dyDescent="0.2">
      <c r="A709" s="75"/>
      <c r="B709" s="79">
        <v>0</v>
      </c>
      <c r="D709" s="75"/>
      <c r="E709" s="79">
        <v>0</v>
      </c>
      <c r="G709" s="75"/>
      <c r="H709" s="79">
        <v>0</v>
      </c>
    </row>
    <row r="710" spans="1:8" x14ac:dyDescent="0.2">
      <c r="A710" s="75"/>
      <c r="B710" s="79">
        <v>0</v>
      </c>
      <c r="D710" s="75"/>
      <c r="E710" s="79">
        <v>0</v>
      </c>
      <c r="G710" s="75"/>
      <c r="H710" s="79">
        <v>0</v>
      </c>
    </row>
    <row r="711" spans="1:8" x14ac:dyDescent="0.2">
      <c r="A711" s="75"/>
      <c r="B711" s="79">
        <v>0</v>
      </c>
      <c r="D711" s="75"/>
      <c r="E711" s="79">
        <v>0</v>
      </c>
      <c r="G711" s="75"/>
      <c r="H711" s="79">
        <v>0</v>
      </c>
    </row>
    <row r="712" spans="1:8" x14ac:dyDescent="0.2">
      <c r="A712" s="75"/>
      <c r="B712" s="79">
        <v>0</v>
      </c>
      <c r="D712" s="75"/>
      <c r="E712" s="79">
        <v>0</v>
      </c>
      <c r="G712" s="75"/>
      <c r="H712" s="79">
        <v>0</v>
      </c>
    </row>
    <row r="713" spans="1:8" x14ac:dyDescent="0.2">
      <c r="A713" s="75"/>
      <c r="B713" s="79">
        <v>0</v>
      </c>
      <c r="D713" s="75"/>
      <c r="E713" s="79">
        <v>0</v>
      </c>
      <c r="G713" s="75"/>
      <c r="H713" s="79">
        <v>0</v>
      </c>
    </row>
    <row r="714" spans="1:8" x14ac:dyDescent="0.2">
      <c r="A714" s="75"/>
      <c r="B714" s="79">
        <v>0</v>
      </c>
      <c r="D714" s="75"/>
      <c r="E714" s="79">
        <v>0</v>
      </c>
      <c r="G714" s="75"/>
      <c r="H714" s="79">
        <v>0</v>
      </c>
    </row>
    <row r="715" spans="1:8" x14ac:dyDescent="0.2">
      <c r="A715" s="75"/>
      <c r="B715" s="79">
        <v>0</v>
      </c>
      <c r="D715" s="75"/>
      <c r="E715" s="79">
        <v>0</v>
      </c>
      <c r="G715" s="75"/>
      <c r="H715" s="79">
        <v>0</v>
      </c>
    </row>
    <row r="716" spans="1:8" x14ac:dyDescent="0.2">
      <c r="A716" s="75"/>
      <c r="B716" s="79">
        <v>0</v>
      </c>
      <c r="D716" s="75"/>
      <c r="E716" s="79">
        <v>0</v>
      </c>
      <c r="G716" s="75"/>
      <c r="H716" s="79">
        <v>0</v>
      </c>
    </row>
    <row r="717" spans="1:8" x14ac:dyDescent="0.2">
      <c r="A717" s="75"/>
      <c r="B717" s="79">
        <v>0</v>
      </c>
      <c r="D717" s="75"/>
      <c r="E717" s="79">
        <v>0</v>
      </c>
      <c r="G717" s="75"/>
      <c r="H717" s="79">
        <v>0</v>
      </c>
    </row>
    <row r="718" spans="1:8" x14ac:dyDescent="0.2">
      <c r="A718" s="75"/>
      <c r="B718" s="79">
        <v>0</v>
      </c>
      <c r="D718" s="75"/>
      <c r="E718" s="79">
        <v>0</v>
      </c>
      <c r="G718" s="75"/>
      <c r="H718" s="79">
        <v>0</v>
      </c>
    </row>
    <row r="719" spans="1:8" x14ac:dyDescent="0.2">
      <c r="A719" s="75"/>
      <c r="B719" s="79">
        <v>0</v>
      </c>
      <c r="D719" s="75"/>
      <c r="E719" s="79">
        <v>0</v>
      </c>
      <c r="G719" s="75"/>
      <c r="H719" s="79">
        <v>0</v>
      </c>
    </row>
    <row r="720" spans="1:8" x14ac:dyDescent="0.2">
      <c r="A720" s="75"/>
      <c r="B720" s="79">
        <v>0</v>
      </c>
      <c r="D720" s="75"/>
      <c r="E720" s="79">
        <v>0</v>
      </c>
      <c r="G720" s="75"/>
      <c r="H720" s="79">
        <v>0</v>
      </c>
    </row>
    <row r="721" spans="1:8" x14ac:dyDescent="0.2">
      <c r="A721" s="75"/>
      <c r="B721" s="79">
        <v>0</v>
      </c>
      <c r="D721" s="75"/>
      <c r="E721" s="79">
        <v>0</v>
      </c>
      <c r="G721" s="75"/>
      <c r="H721" s="79">
        <v>0</v>
      </c>
    </row>
    <row r="722" spans="1:8" x14ac:dyDescent="0.2">
      <c r="A722" s="75"/>
      <c r="B722" s="79">
        <v>0</v>
      </c>
      <c r="D722" s="75"/>
      <c r="E722" s="79">
        <v>0</v>
      </c>
      <c r="G722" s="75"/>
      <c r="H722" s="79">
        <v>0</v>
      </c>
    </row>
    <row r="723" spans="1:8" x14ac:dyDescent="0.2">
      <c r="A723" s="75"/>
      <c r="B723" s="79">
        <v>0</v>
      </c>
      <c r="D723" s="75"/>
      <c r="E723" s="79">
        <v>0</v>
      </c>
      <c r="G723" s="75"/>
      <c r="H723" s="79">
        <v>0</v>
      </c>
    </row>
    <row r="724" spans="1:8" x14ac:dyDescent="0.2">
      <c r="A724" s="75"/>
      <c r="B724" s="79">
        <v>0</v>
      </c>
      <c r="D724" s="75"/>
      <c r="E724" s="79">
        <v>0</v>
      </c>
      <c r="G724" s="75"/>
      <c r="H724" s="79">
        <v>0</v>
      </c>
    </row>
    <row r="725" spans="1:8" x14ac:dyDescent="0.2">
      <c r="A725" s="75"/>
      <c r="B725" s="79">
        <v>0</v>
      </c>
      <c r="D725" s="75"/>
      <c r="E725" s="79">
        <v>0</v>
      </c>
      <c r="G725" s="75"/>
      <c r="H725" s="79">
        <v>0</v>
      </c>
    </row>
    <row r="726" spans="1:8" x14ac:dyDescent="0.2">
      <c r="A726" s="75"/>
      <c r="B726" s="79">
        <v>0</v>
      </c>
      <c r="D726" s="75"/>
      <c r="E726" s="79">
        <v>0</v>
      </c>
      <c r="G726" s="75"/>
      <c r="H726" s="79">
        <v>0</v>
      </c>
    </row>
    <row r="727" spans="1:8" x14ac:dyDescent="0.2">
      <c r="A727" s="75"/>
      <c r="B727" s="79">
        <v>0</v>
      </c>
      <c r="D727" s="75"/>
      <c r="E727" s="79">
        <v>0</v>
      </c>
      <c r="G727" s="75"/>
      <c r="H727" s="79">
        <v>0</v>
      </c>
    </row>
    <row r="728" spans="1:8" x14ac:dyDescent="0.2">
      <c r="A728" s="75"/>
      <c r="B728" s="79">
        <v>0</v>
      </c>
      <c r="D728" s="75"/>
      <c r="E728" s="79">
        <v>0</v>
      </c>
      <c r="G728" s="75"/>
      <c r="H728" s="79">
        <v>0</v>
      </c>
    </row>
    <row r="729" spans="1:8" x14ac:dyDescent="0.2">
      <c r="A729" s="75"/>
      <c r="B729" s="79">
        <v>0</v>
      </c>
      <c r="D729" s="75"/>
      <c r="E729" s="79">
        <v>0</v>
      </c>
      <c r="G729" s="75"/>
      <c r="H729" s="79">
        <v>0</v>
      </c>
    </row>
    <row r="730" spans="1:8" x14ac:dyDescent="0.2">
      <c r="A730" s="75"/>
      <c r="B730" s="79">
        <v>0</v>
      </c>
      <c r="D730" s="75"/>
      <c r="E730" s="79">
        <v>0</v>
      </c>
      <c r="G730" s="75"/>
      <c r="H730" s="79">
        <v>0</v>
      </c>
    </row>
    <row r="731" spans="1:8" x14ac:dyDescent="0.2">
      <c r="A731" s="75"/>
      <c r="B731" s="79">
        <v>0</v>
      </c>
      <c r="D731" s="75"/>
      <c r="E731" s="79">
        <v>0</v>
      </c>
      <c r="G731" s="75"/>
      <c r="H731" s="79">
        <v>0</v>
      </c>
    </row>
    <row r="732" spans="1:8" x14ac:dyDescent="0.2">
      <c r="A732" s="75"/>
      <c r="B732" s="79">
        <v>0</v>
      </c>
      <c r="D732" s="75"/>
      <c r="E732" s="79">
        <v>0</v>
      </c>
      <c r="G732" s="75"/>
      <c r="H732" s="79">
        <v>0</v>
      </c>
    </row>
    <row r="733" spans="1:8" x14ac:dyDescent="0.2">
      <c r="A733" s="75"/>
      <c r="B733" s="79">
        <v>0</v>
      </c>
      <c r="D733" s="75"/>
      <c r="E733" s="79">
        <v>0</v>
      </c>
      <c r="G733" s="75"/>
      <c r="H733" s="79">
        <v>0</v>
      </c>
    </row>
    <row r="734" spans="1:8" x14ac:dyDescent="0.2">
      <c r="A734" s="75"/>
      <c r="B734" s="79">
        <v>0</v>
      </c>
      <c r="D734" s="75"/>
      <c r="E734" s="79">
        <v>0</v>
      </c>
      <c r="G734" s="75"/>
      <c r="H734" s="79">
        <v>0</v>
      </c>
    </row>
    <row r="735" spans="1:8" x14ac:dyDescent="0.2">
      <c r="A735" s="75"/>
      <c r="B735" s="79">
        <v>0</v>
      </c>
      <c r="D735" s="75"/>
      <c r="E735" s="79">
        <v>0</v>
      </c>
      <c r="G735" s="75"/>
      <c r="H735" s="79">
        <v>0</v>
      </c>
    </row>
    <row r="736" spans="1:8" x14ac:dyDescent="0.2">
      <c r="A736" s="75"/>
      <c r="B736" s="79">
        <v>0</v>
      </c>
      <c r="D736" s="75"/>
      <c r="E736" s="79">
        <v>0</v>
      </c>
      <c r="G736" s="75"/>
      <c r="H736" s="79">
        <v>0</v>
      </c>
    </row>
    <row r="737" spans="1:8" x14ac:dyDescent="0.2">
      <c r="A737" s="75"/>
      <c r="B737" s="79">
        <v>0</v>
      </c>
      <c r="D737" s="75"/>
      <c r="E737" s="79">
        <v>0</v>
      </c>
      <c r="G737" s="75"/>
      <c r="H737" s="79">
        <v>0</v>
      </c>
    </row>
    <row r="738" spans="1:8" x14ac:dyDescent="0.2">
      <c r="A738" s="75"/>
      <c r="B738" s="79">
        <v>0</v>
      </c>
      <c r="D738" s="75"/>
      <c r="E738" s="79">
        <v>0</v>
      </c>
      <c r="G738" s="75"/>
      <c r="H738" s="79">
        <v>0</v>
      </c>
    </row>
    <row r="739" spans="1:8" x14ac:dyDescent="0.2">
      <c r="A739" s="75"/>
      <c r="B739" s="79">
        <v>0</v>
      </c>
      <c r="D739" s="75"/>
      <c r="E739" s="79">
        <v>0</v>
      </c>
      <c r="G739" s="75"/>
      <c r="H739" s="79">
        <v>0</v>
      </c>
    </row>
    <row r="740" spans="1:8" x14ac:dyDescent="0.2">
      <c r="A740" s="75"/>
      <c r="B740" s="79">
        <v>0</v>
      </c>
      <c r="D740" s="75"/>
      <c r="E740" s="79">
        <v>0</v>
      </c>
      <c r="G740" s="75"/>
      <c r="H740" s="79">
        <v>0</v>
      </c>
    </row>
    <row r="741" spans="1:8" x14ac:dyDescent="0.2">
      <c r="A741" s="75"/>
      <c r="B741" s="79">
        <v>0</v>
      </c>
      <c r="D741" s="75"/>
      <c r="E741" s="79">
        <v>0</v>
      </c>
      <c r="G741" s="75"/>
      <c r="H741" s="79">
        <v>0</v>
      </c>
    </row>
    <row r="742" spans="1:8" x14ac:dyDescent="0.2">
      <c r="A742" s="75"/>
      <c r="B742" s="79">
        <v>0</v>
      </c>
      <c r="D742" s="75"/>
      <c r="E742" s="79">
        <v>0</v>
      </c>
      <c r="G742" s="75"/>
      <c r="H742" s="79">
        <v>0</v>
      </c>
    </row>
    <row r="743" spans="1:8" x14ac:dyDescent="0.2">
      <c r="A743" s="75"/>
      <c r="B743" s="79">
        <v>0</v>
      </c>
      <c r="D743" s="75"/>
      <c r="E743" s="79">
        <v>0</v>
      </c>
      <c r="G743" s="75"/>
      <c r="H743" s="79">
        <v>0</v>
      </c>
    </row>
    <row r="744" spans="1:8" x14ac:dyDescent="0.2">
      <c r="A744" s="75"/>
      <c r="B744" s="79">
        <v>0</v>
      </c>
      <c r="D744" s="75"/>
      <c r="E744" s="79">
        <v>0</v>
      </c>
      <c r="G744" s="75"/>
      <c r="H744" s="79">
        <v>0</v>
      </c>
    </row>
    <row r="745" spans="1:8" x14ac:dyDescent="0.2">
      <c r="A745" s="75"/>
      <c r="B745" s="79">
        <v>0</v>
      </c>
      <c r="D745" s="75"/>
      <c r="E745" s="79">
        <v>0</v>
      </c>
      <c r="G745" s="75"/>
      <c r="H745" s="79">
        <v>0</v>
      </c>
    </row>
    <row r="746" spans="1:8" x14ac:dyDescent="0.2">
      <c r="A746" s="75"/>
      <c r="B746" s="79">
        <v>0</v>
      </c>
      <c r="D746" s="75"/>
      <c r="E746" s="79">
        <v>0</v>
      </c>
      <c r="G746" s="75"/>
      <c r="H746" s="79">
        <v>0</v>
      </c>
    </row>
    <row r="747" spans="1:8" x14ac:dyDescent="0.2">
      <c r="A747" s="75"/>
      <c r="B747" s="79">
        <v>0</v>
      </c>
      <c r="D747" s="75"/>
      <c r="E747" s="79">
        <v>0</v>
      </c>
      <c r="G747" s="75"/>
      <c r="H747" s="79">
        <v>0</v>
      </c>
    </row>
    <row r="748" spans="1:8" x14ac:dyDescent="0.2">
      <c r="A748" s="75"/>
      <c r="B748" s="79">
        <v>0</v>
      </c>
      <c r="D748" s="75"/>
      <c r="E748" s="79">
        <v>0</v>
      </c>
      <c r="G748" s="75"/>
      <c r="H748" s="79">
        <v>0</v>
      </c>
    </row>
    <row r="749" spans="1:8" x14ac:dyDescent="0.2">
      <c r="A749" s="75"/>
      <c r="B749" s="79">
        <v>0</v>
      </c>
      <c r="D749" s="75"/>
      <c r="E749" s="79">
        <v>0</v>
      </c>
      <c r="G749" s="75"/>
      <c r="H749" s="79">
        <v>0</v>
      </c>
    </row>
    <row r="750" spans="1:8" x14ac:dyDescent="0.2">
      <c r="A750" s="75"/>
      <c r="B750" s="79">
        <v>0</v>
      </c>
      <c r="D750" s="75"/>
      <c r="E750" s="79">
        <v>0</v>
      </c>
      <c r="G750" s="75"/>
      <c r="H750" s="79">
        <v>0</v>
      </c>
    </row>
    <row r="751" spans="1:8" x14ac:dyDescent="0.2">
      <c r="A751" s="75"/>
      <c r="B751" s="79">
        <v>0</v>
      </c>
      <c r="D751" s="75"/>
      <c r="E751" s="79">
        <v>0</v>
      </c>
      <c r="G751" s="75"/>
      <c r="H751" s="79">
        <v>0</v>
      </c>
    </row>
    <row r="752" spans="1:8" x14ac:dyDescent="0.2">
      <c r="A752" s="75"/>
      <c r="B752" s="79">
        <v>0</v>
      </c>
      <c r="D752" s="75"/>
      <c r="E752" s="79">
        <v>0</v>
      </c>
      <c r="G752" s="75"/>
      <c r="H752" s="79">
        <v>0</v>
      </c>
    </row>
    <row r="753" spans="1:8" x14ac:dyDescent="0.2">
      <c r="A753" s="75"/>
      <c r="B753" s="79">
        <v>0</v>
      </c>
      <c r="D753" s="75"/>
      <c r="E753" s="79">
        <v>0</v>
      </c>
      <c r="G753" s="75"/>
      <c r="H753" s="79">
        <v>0</v>
      </c>
    </row>
    <row r="754" spans="1:8" x14ac:dyDescent="0.2">
      <c r="A754" s="75"/>
      <c r="B754" s="79">
        <v>0</v>
      </c>
      <c r="D754" s="75"/>
      <c r="E754" s="79">
        <v>0</v>
      </c>
      <c r="G754" s="75"/>
      <c r="H754" s="79">
        <v>0</v>
      </c>
    </row>
    <row r="755" spans="1:8" x14ac:dyDescent="0.2">
      <c r="A755" s="75"/>
      <c r="B755" s="79">
        <v>0</v>
      </c>
      <c r="D755" s="75"/>
      <c r="E755" s="79">
        <v>0</v>
      </c>
      <c r="G755" s="75"/>
      <c r="H755" s="79">
        <v>0</v>
      </c>
    </row>
    <row r="756" spans="1:8" x14ac:dyDescent="0.2">
      <c r="A756" s="75"/>
      <c r="B756" s="79">
        <v>0</v>
      </c>
      <c r="D756" s="75"/>
      <c r="E756" s="79">
        <v>0</v>
      </c>
      <c r="G756" s="75"/>
      <c r="H756" s="79">
        <v>0</v>
      </c>
    </row>
    <row r="757" spans="1:8" x14ac:dyDescent="0.2">
      <c r="A757" s="75"/>
      <c r="B757" s="79">
        <v>0</v>
      </c>
      <c r="D757" s="75"/>
      <c r="E757" s="79">
        <v>0</v>
      </c>
      <c r="G757" s="75"/>
      <c r="H757" s="79">
        <v>0</v>
      </c>
    </row>
    <row r="758" spans="1:8" x14ac:dyDescent="0.2">
      <c r="A758" s="75"/>
      <c r="B758" s="79">
        <v>0</v>
      </c>
      <c r="D758" s="75"/>
      <c r="E758" s="79">
        <v>0</v>
      </c>
      <c r="G758" s="75"/>
      <c r="H758" s="79">
        <v>0</v>
      </c>
    </row>
    <row r="759" spans="1:8" x14ac:dyDescent="0.2">
      <c r="A759" s="75"/>
      <c r="B759" s="79">
        <v>0</v>
      </c>
      <c r="D759" s="75"/>
      <c r="E759" s="79">
        <v>0</v>
      </c>
      <c r="G759" s="75"/>
      <c r="H759" s="79">
        <v>0</v>
      </c>
    </row>
    <row r="760" spans="1:8" x14ac:dyDescent="0.2">
      <c r="A760" s="75"/>
      <c r="B760" s="79">
        <v>0</v>
      </c>
      <c r="D760" s="75"/>
      <c r="E760" s="79">
        <v>0</v>
      </c>
      <c r="G760" s="75"/>
      <c r="H760" s="79">
        <v>0</v>
      </c>
    </row>
    <row r="761" spans="1:8" x14ac:dyDescent="0.2">
      <c r="A761" s="75"/>
      <c r="B761" s="79">
        <v>0</v>
      </c>
      <c r="D761" s="75"/>
      <c r="E761" s="79">
        <v>0</v>
      </c>
      <c r="G761" s="75"/>
      <c r="H761" s="79">
        <v>0</v>
      </c>
    </row>
    <row r="762" spans="1:8" x14ac:dyDescent="0.2">
      <c r="A762" s="75"/>
      <c r="B762" s="79">
        <v>0</v>
      </c>
      <c r="D762" s="75"/>
      <c r="E762" s="79">
        <v>0</v>
      </c>
      <c r="G762" s="75"/>
      <c r="H762" s="79">
        <v>0</v>
      </c>
    </row>
    <row r="763" spans="1:8" x14ac:dyDescent="0.2">
      <c r="A763" s="75"/>
      <c r="B763" s="79">
        <v>0</v>
      </c>
      <c r="D763" s="75"/>
      <c r="E763" s="79">
        <v>0</v>
      </c>
      <c r="G763" s="75"/>
      <c r="H763" s="79">
        <v>0</v>
      </c>
    </row>
    <row r="764" spans="1:8" x14ac:dyDescent="0.2">
      <c r="A764" s="75"/>
      <c r="B764" s="79">
        <v>0</v>
      </c>
      <c r="D764" s="75"/>
      <c r="E764" s="79">
        <v>0</v>
      </c>
      <c r="G764" s="75"/>
      <c r="H764" s="79">
        <v>0</v>
      </c>
    </row>
    <row r="765" spans="1:8" x14ac:dyDescent="0.2">
      <c r="A765" s="75"/>
      <c r="B765" s="79">
        <v>0</v>
      </c>
      <c r="D765" s="75"/>
      <c r="E765" s="79">
        <v>0</v>
      </c>
      <c r="G765" s="75"/>
      <c r="H765" s="79">
        <v>0</v>
      </c>
    </row>
    <row r="766" spans="1:8" x14ac:dyDescent="0.2">
      <c r="A766" s="75"/>
      <c r="B766" s="79">
        <v>0</v>
      </c>
      <c r="D766" s="75"/>
      <c r="E766" s="79">
        <v>0</v>
      </c>
      <c r="G766" s="75"/>
      <c r="H766" s="79">
        <v>0</v>
      </c>
    </row>
    <row r="767" spans="1:8" x14ac:dyDescent="0.2">
      <c r="A767" s="75"/>
      <c r="B767" s="79">
        <v>0</v>
      </c>
      <c r="D767" s="75"/>
      <c r="E767" s="79">
        <v>0</v>
      </c>
      <c r="G767" s="75"/>
      <c r="H767" s="79">
        <v>0</v>
      </c>
    </row>
    <row r="768" spans="1:8" x14ac:dyDescent="0.2">
      <c r="A768" s="75"/>
      <c r="B768" s="79">
        <v>0</v>
      </c>
      <c r="D768" s="75"/>
      <c r="E768" s="79">
        <v>0</v>
      </c>
      <c r="G768" s="75"/>
      <c r="H768" s="79">
        <v>0</v>
      </c>
    </row>
    <row r="769" spans="1:8" x14ac:dyDescent="0.2">
      <c r="A769" s="75"/>
      <c r="B769" s="79">
        <v>0</v>
      </c>
      <c r="D769" s="75"/>
      <c r="E769" s="79">
        <v>0</v>
      </c>
      <c r="G769" s="75"/>
      <c r="H769" s="79">
        <v>0</v>
      </c>
    </row>
    <row r="770" spans="1:8" x14ac:dyDescent="0.2">
      <c r="A770" s="75"/>
      <c r="B770" s="79">
        <v>0</v>
      </c>
      <c r="D770" s="75"/>
      <c r="E770" s="79">
        <v>0</v>
      </c>
      <c r="G770" s="75"/>
      <c r="H770" s="79">
        <v>0</v>
      </c>
    </row>
    <row r="771" spans="1:8" x14ac:dyDescent="0.2">
      <c r="A771" s="75"/>
      <c r="B771" s="79">
        <v>0</v>
      </c>
      <c r="D771" s="75"/>
      <c r="E771" s="79">
        <v>0</v>
      </c>
      <c r="G771" s="75"/>
      <c r="H771" s="79">
        <v>0</v>
      </c>
    </row>
    <row r="772" spans="1:8" x14ac:dyDescent="0.2">
      <c r="A772" s="75"/>
      <c r="B772" s="79">
        <v>0</v>
      </c>
      <c r="D772" s="75"/>
      <c r="E772" s="79">
        <v>0</v>
      </c>
      <c r="G772" s="75"/>
      <c r="H772" s="79">
        <v>0</v>
      </c>
    </row>
    <row r="773" spans="1:8" x14ac:dyDescent="0.2">
      <c r="A773" s="75"/>
      <c r="B773" s="79">
        <v>0</v>
      </c>
      <c r="D773" s="75"/>
      <c r="E773" s="79">
        <v>0</v>
      </c>
      <c r="G773" s="75"/>
      <c r="H773" s="79">
        <v>0</v>
      </c>
    </row>
    <row r="774" spans="1:8" x14ac:dyDescent="0.2">
      <c r="A774" s="75"/>
      <c r="B774" s="79">
        <v>0</v>
      </c>
      <c r="D774" s="75"/>
      <c r="E774" s="79">
        <v>0</v>
      </c>
      <c r="G774" s="75"/>
      <c r="H774" s="79">
        <v>0</v>
      </c>
    </row>
    <row r="775" spans="1:8" x14ac:dyDescent="0.2">
      <c r="A775" s="75"/>
      <c r="B775" s="79">
        <v>0</v>
      </c>
      <c r="D775" s="75"/>
      <c r="E775" s="79">
        <v>0</v>
      </c>
      <c r="G775" s="75"/>
      <c r="H775" s="79">
        <v>0</v>
      </c>
    </row>
    <row r="776" spans="1:8" x14ac:dyDescent="0.2">
      <c r="A776" s="75"/>
      <c r="B776" s="79">
        <v>0</v>
      </c>
      <c r="D776" s="75"/>
      <c r="E776" s="79">
        <v>0</v>
      </c>
      <c r="G776" s="75"/>
      <c r="H776" s="79">
        <v>0</v>
      </c>
    </row>
    <row r="777" spans="1:8" x14ac:dyDescent="0.2">
      <c r="A777" s="75"/>
      <c r="B777" s="79">
        <v>0</v>
      </c>
      <c r="D777" s="75"/>
      <c r="E777" s="79">
        <v>0</v>
      </c>
      <c r="G777" s="75"/>
      <c r="H777" s="79">
        <v>0</v>
      </c>
    </row>
    <row r="778" spans="1:8" x14ac:dyDescent="0.2">
      <c r="A778" s="75"/>
      <c r="B778" s="79">
        <v>0</v>
      </c>
      <c r="D778" s="75"/>
      <c r="E778" s="79">
        <v>0</v>
      </c>
      <c r="G778" s="75"/>
      <c r="H778" s="79">
        <v>0</v>
      </c>
    </row>
    <row r="779" spans="1:8" x14ac:dyDescent="0.2">
      <c r="A779" s="75"/>
      <c r="B779" s="79">
        <v>0</v>
      </c>
      <c r="D779" s="75"/>
      <c r="E779" s="79">
        <v>0</v>
      </c>
      <c r="G779" s="75"/>
      <c r="H779" s="79">
        <v>0</v>
      </c>
    </row>
    <row r="780" spans="1:8" x14ac:dyDescent="0.2">
      <c r="A780" s="75"/>
      <c r="B780" s="79">
        <v>0</v>
      </c>
      <c r="D780" s="75"/>
      <c r="E780" s="79">
        <v>0</v>
      </c>
      <c r="G780" s="75"/>
      <c r="H780" s="79">
        <v>0</v>
      </c>
    </row>
    <row r="781" spans="1:8" x14ac:dyDescent="0.2">
      <c r="A781" s="75"/>
      <c r="B781" s="79">
        <v>0</v>
      </c>
      <c r="D781" s="75"/>
      <c r="E781" s="79">
        <v>0</v>
      </c>
      <c r="G781" s="75"/>
      <c r="H781" s="79">
        <v>0</v>
      </c>
    </row>
    <row r="782" spans="1:8" x14ac:dyDescent="0.2">
      <c r="A782" s="75"/>
      <c r="B782" s="79">
        <v>0</v>
      </c>
      <c r="D782" s="75"/>
      <c r="E782" s="79">
        <v>0</v>
      </c>
      <c r="G782" s="75"/>
      <c r="H782" s="79">
        <v>0</v>
      </c>
    </row>
    <row r="783" spans="1:8" x14ac:dyDescent="0.2">
      <c r="A783" s="75"/>
      <c r="B783" s="79">
        <v>0</v>
      </c>
      <c r="D783" s="75"/>
      <c r="E783" s="79">
        <v>0</v>
      </c>
      <c r="G783" s="75"/>
      <c r="H783" s="79">
        <v>0</v>
      </c>
    </row>
    <row r="784" spans="1:8" x14ac:dyDescent="0.2">
      <c r="A784" s="75"/>
      <c r="B784" s="79">
        <v>0</v>
      </c>
      <c r="D784" s="75"/>
      <c r="E784" s="79">
        <v>0</v>
      </c>
      <c r="G784" s="75"/>
      <c r="H784" s="79">
        <v>0</v>
      </c>
    </row>
    <row r="785" spans="1:8" x14ac:dyDescent="0.2">
      <c r="A785" s="75"/>
      <c r="B785" s="79">
        <v>0</v>
      </c>
      <c r="D785" s="75"/>
      <c r="E785" s="79">
        <v>0</v>
      </c>
      <c r="G785" s="75"/>
      <c r="H785" s="79">
        <v>0</v>
      </c>
    </row>
    <row r="786" spans="1:8" x14ac:dyDescent="0.2">
      <c r="A786" s="75"/>
      <c r="B786" s="79">
        <v>0</v>
      </c>
      <c r="D786" s="75"/>
      <c r="E786" s="79">
        <v>0</v>
      </c>
      <c r="G786" s="75"/>
      <c r="H786" s="79">
        <v>0</v>
      </c>
    </row>
    <row r="787" spans="1:8" x14ac:dyDescent="0.2">
      <c r="A787" s="75"/>
      <c r="B787" s="79">
        <v>0</v>
      </c>
      <c r="D787" s="75"/>
      <c r="E787" s="79">
        <v>0</v>
      </c>
      <c r="G787" s="75"/>
      <c r="H787" s="79">
        <v>0</v>
      </c>
    </row>
    <row r="788" spans="1:8" x14ac:dyDescent="0.2">
      <c r="A788" s="75"/>
      <c r="B788" s="79">
        <v>0</v>
      </c>
      <c r="D788" s="75"/>
      <c r="E788" s="79">
        <v>0</v>
      </c>
      <c r="G788" s="75"/>
      <c r="H788" s="79">
        <v>0</v>
      </c>
    </row>
    <row r="789" spans="1:8" x14ac:dyDescent="0.2">
      <c r="A789" s="75"/>
      <c r="B789" s="79">
        <v>0</v>
      </c>
      <c r="D789" s="75"/>
      <c r="E789" s="79">
        <v>0</v>
      </c>
      <c r="G789" s="75"/>
      <c r="H789" s="79">
        <v>0</v>
      </c>
    </row>
    <row r="790" spans="1:8" x14ac:dyDescent="0.2">
      <c r="A790" s="75"/>
      <c r="B790" s="79">
        <v>0</v>
      </c>
      <c r="D790" s="75"/>
      <c r="E790" s="79">
        <v>0</v>
      </c>
      <c r="G790" s="75"/>
      <c r="H790" s="79">
        <v>0</v>
      </c>
    </row>
    <row r="791" spans="1:8" x14ac:dyDescent="0.2">
      <c r="A791" s="75"/>
      <c r="B791" s="79">
        <v>0</v>
      </c>
      <c r="D791" s="75"/>
      <c r="E791" s="79">
        <v>0</v>
      </c>
      <c r="G791" s="75"/>
      <c r="H791" s="79">
        <v>0</v>
      </c>
    </row>
    <row r="792" spans="1:8" x14ac:dyDescent="0.2">
      <c r="A792" s="75"/>
      <c r="B792" s="79">
        <v>0</v>
      </c>
      <c r="D792" s="75"/>
      <c r="E792" s="79">
        <v>0</v>
      </c>
      <c r="G792" s="75"/>
      <c r="H792" s="79">
        <v>0</v>
      </c>
    </row>
    <row r="793" spans="1:8" x14ac:dyDescent="0.2">
      <c r="A793" s="75"/>
      <c r="B793" s="79">
        <v>0</v>
      </c>
      <c r="D793" s="75"/>
      <c r="E793" s="79">
        <v>0</v>
      </c>
      <c r="G793" s="75"/>
      <c r="H793" s="79">
        <v>0</v>
      </c>
    </row>
    <row r="794" spans="1:8" x14ac:dyDescent="0.2">
      <c r="A794" s="75"/>
      <c r="B794" s="79">
        <v>0</v>
      </c>
      <c r="D794" s="75"/>
      <c r="E794" s="79">
        <v>0</v>
      </c>
      <c r="G794" s="75"/>
      <c r="H794" s="79">
        <v>0</v>
      </c>
    </row>
    <row r="795" spans="1:8" x14ac:dyDescent="0.2">
      <c r="A795" s="75"/>
      <c r="B795" s="79">
        <v>0</v>
      </c>
      <c r="D795" s="75"/>
      <c r="E795" s="79">
        <v>0</v>
      </c>
      <c r="G795" s="75"/>
      <c r="H795" s="79">
        <v>0</v>
      </c>
    </row>
    <row r="796" spans="1:8" x14ac:dyDescent="0.2">
      <c r="A796" s="75"/>
      <c r="B796" s="79">
        <v>0</v>
      </c>
      <c r="D796" s="75"/>
      <c r="E796" s="79">
        <v>0</v>
      </c>
      <c r="G796" s="75"/>
      <c r="H796" s="79">
        <v>0</v>
      </c>
    </row>
    <row r="797" spans="1:8" x14ac:dyDescent="0.2">
      <c r="A797" s="75"/>
      <c r="B797" s="79">
        <v>0</v>
      </c>
      <c r="D797" s="75"/>
      <c r="E797" s="79">
        <v>0</v>
      </c>
      <c r="G797" s="75"/>
      <c r="H797" s="79">
        <v>0</v>
      </c>
    </row>
    <row r="798" spans="1:8" x14ac:dyDescent="0.2">
      <c r="A798" s="75"/>
      <c r="B798" s="79">
        <v>0</v>
      </c>
      <c r="D798" s="75"/>
      <c r="E798" s="79">
        <v>0</v>
      </c>
      <c r="G798" s="75"/>
      <c r="H798" s="79">
        <v>0</v>
      </c>
    </row>
    <row r="799" spans="1:8" x14ac:dyDescent="0.2">
      <c r="A799" s="75"/>
      <c r="B799" s="79">
        <v>0</v>
      </c>
      <c r="D799" s="75"/>
      <c r="E799" s="79">
        <v>0</v>
      </c>
      <c r="G799" s="75"/>
      <c r="H799" s="79">
        <v>0</v>
      </c>
    </row>
    <row r="800" spans="1:8" x14ac:dyDescent="0.2">
      <c r="A800" s="75"/>
      <c r="B800" s="79">
        <v>0</v>
      </c>
      <c r="D800" s="75"/>
      <c r="E800" s="79">
        <v>0</v>
      </c>
      <c r="G800" s="75"/>
      <c r="H800" s="79">
        <v>0</v>
      </c>
    </row>
    <row r="801" spans="1:8" x14ac:dyDescent="0.2">
      <c r="A801" s="75"/>
      <c r="B801" s="79">
        <v>0</v>
      </c>
      <c r="D801" s="75"/>
      <c r="E801" s="79">
        <v>0</v>
      </c>
      <c r="G801" s="75"/>
      <c r="H801" s="79">
        <v>0</v>
      </c>
    </row>
    <row r="802" spans="1:8" x14ac:dyDescent="0.2">
      <c r="A802" s="75"/>
      <c r="B802" s="79">
        <v>0</v>
      </c>
      <c r="D802" s="75"/>
      <c r="E802" s="79">
        <v>0</v>
      </c>
      <c r="G802" s="75"/>
      <c r="H802" s="79">
        <v>0</v>
      </c>
    </row>
    <row r="803" spans="1:8" x14ac:dyDescent="0.2">
      <c r="A803" s="75"/>
      <c r="B803" s="79">
        <v>0</v>
      </c>
      <c r="D803" s="75"/>
      <c r="E803" s="79">
        <v>0</v>
      </c>
      <c r="G803" s="75"/>
      <c r="H803" s="79">
        <v>0</v>
      </c>
    </row>
    <row r="804" spans="1:8" x14ac:dyDescent="0.2">
      <c r="A804" s="75"/>
      <c r="B804" s="79">
        <v>0</v>
      </c>
      <c r="D804" s="75"/>
      <c r="E804" s="79">
        <v>0</v>
      </c>
      <c r="G804" s="75"/>
      <c r="H804" s="79">
        <v>0</v>
      </c>
    </row>
    <row r="805" spans="1:8" x14ac:dyDescent="0.2">
      <c r="A805" s="75"/>
      <c r="B805" s="79">
        <v>0</v>
      </c>
      <c r="D805" s="75"/>
      <c r="E805" s="79">
        <v>0</v>
      </c>
      <c r="G805" s="75"/>
      <c r="H805" s="79">
        <v>0</v>
      </c>
    </row>
    <row r="806" spans="1:8" x14ac:dyDescent="0.2">
      <c r="A806" s="75"/>
      <c r="B806" s="79">
        <v>0</v>
      </c>
      <c r="D806" s="75"/>
      <c r="E806" s="79">
        <v>0</v>
      </c>
      <c r="G806" s="75"/>
      <c r="H806" s="79">
        <v>0</v>
      </c>
    </row>
    <row r="807" spans="1:8" x14ac:dyDescent="0.2">
      <c r="A807" s="75"/>
      <c r="B807" s="79">
        <v>0</v>
      </c>
      <c r="D807" s="75"/>
      <c r="E807" s="79">
        <v>0</v>
      </c>
      <c r="G807" s="75"/>
      <c r="H807" s="79">
        <v>0</v>
      </c>
    </row>
    <row r="808" spans="1:8" x14ac:dyDescent="0.2">
      <c r="A808" s="75"/>
      <c r="B808" s="79">
        <v>0</v>
      </c>
      <c r="D808" s="75"/>
      <c r="E808" s="79">
        <v>0</v>
      </c>
      <c r="G808" s="75"/>
      <c r="H808" s="79">
        <v>0</v>
      </c>
    </row>
    <row r="809" spans="1:8" x14ac:dyDescent="0.2">
      <c r="A809" s="75"/>
      <c r="B809" s="79">
        <v>0</v>
      </c>
      <c r="D809" s="75"/>
      <c r="E809" s="79">
        <v>0</v>
      </c>
      <c r="G809" s="75"/>
      <c r="H809" s="79">
        <v>0</v>
      </c>
    </row>
    <row r="810" spans="1:8" x14ac:dyDescent="0.2">
      <c r="A810" s="75"/>
      <c r="B810" s="79">
        <v>0</v>
      </c>
      <c r="D810" s="75"/>
      <c r="E810" s="79">
        <v>0</v>
      </c>
      <c r="G810" s="75"/>
      <c r="H810" s="79">
        <v>0</v>
      </c>
    </row>
    <row r="811" spans="1:8" x14ac:dyDescent="0.2">
      <c r="A811" s="75"/>
      <c r="B811" s="79">
        <v>0</v>
      </c>
      <c r="D811" s="75"/>
      <c r="E811" s="79">
        <v>0</v>
      </c>
      <c r="G811" s="75"/>
      <c r="H811" s="79">
        <v>0</v>
      </c>
    </row>
    <row r="812" spans="1:8" x14ac:dyDescent="0.2">
      <c r="A812" s="75"/>
      <c r="B812" s="79">
        <v>0</v>
      </c>
      <c r="D812" s="75"/>
      <c r="E812" s="79">
        <v>0</v>
      </c>
      <c r="G812" s="75"/>
      <c r="H812" s="79">
        <v>0</v>
      </c>
    </row>
    <row r="813" spans="1:8" x14ac:dyDescent="0.2">
      <c r="A813" s="75"/>
      <c r="B813" s="79">
        <v>0</v>
      </c>
      <c r="D813" s="75"/>
      <c r="E813" s="79">
        <v>0</v>
      </c>
      <c r="G813" s="75"/>
      <c r="H813" s="79">
        <v>0</v>
      </c>
    </row>
    <row r="814" spans="1:8" x14ac:dyDescent="0.2">
      <c r="A814" s="75"/>
      <c r="B814" s="79">
        <v>0</v>
      </c>
      <c r="D814" s="75"/>
      <c r="E814" s="79">
        <v>0</v>
      </c>
      <c r="G814" s="75"/>
      <c r="H814" s="79">
        <v>0</v>
      </c>
    </row>
    <row r="815" spans="1:8" x14ac:dyDescent="0.2">
      <c r="A815" s="75"/>
      <c r="B815" s="79">
        <v>0</v>
      </c>
      <c r="D815" s="75"/>
      <c r="E815" s="79">
        <v>0</v>
      </c>
      <c r="G815" s="75"/>
      <c r="H815" s="79">
        <v>0</v>
      </c>
    </row>
    <row r="816" spans="1:8" x14ac:dyDescent="0.2">
      <c r="A816" s="75"/>
      <c r="B816" s="79">
        <v>0</v>
      </c>
      <c r="D816" s="75"/>
      <c r="E816" s="79">
        <v>0</v>
      </c>
      <c r="G816" s="75"/>
      <c r="H816" s="79">
        <v>0</v>
      </c>
    </row>
    <row r="817" spans="1:8" x14ac:dyDescent="0.2">
      <c r="A817" s="75"/>
      <c r="B817" s="79">
        <v>0</v>
      </c>
      <c r="D817" s="75"/>
      <c r="E817" s="79">
        <v>0</v>
      </c>
      <c r="G817" s="75"/>
      <c r="H817" s="79">
        <v>0</v>
      </c>
    </row>
    <row r="818" spans="1:8" x14ac:dyDescent="0.2">
      <c r="A818" s="75"/>
      <c r="B818" s="79">
        <v>0</v>
      </c>
      <c r="D818" s="75"/>
      <c r="E818" s="79">
        <v>0</v>
      </c>
      <c r="G818" s="75"/>
      <c r="H818" s="79">
        <v>0</v>
      </c>
    </row>
    <row r="819" spans="1:8" x14ac:dyDescent="0.2">
      <c r="A819" s="75"/>
      <c r="B819" s="79">
        <v>0</v>
      </c>
      <c r="D819" s="75"/>
      <c r="E819" s="79">
        <v>0</v>
      </c>
      <c r="G819" s="75"/>
      <c r="H819" s="79">
        <v>0</v>
      </c>
    </row>
    <row r="820" spans="1:8" x14ac:dyDescent="0.2">
      <c r="A820" s="75"/>
      <c r="B820" s="79">
        <v>0</v>
      </c>
      <c r="D820" s="75"/>
      <c r="E820" s="79">
        <v>0</v>
      </c>
      <c r="G820" s="75"/>
      <c r="H820" s="79">
        <v>0</v>
      </c>
    </row>
    <row r="821" spans="1:8" x14ac:dyDescent="0.2">
      <c r="A821" s="75"/>
      <c r="B821" s="79">
        <v>0</v>
      </c>
      <c r="D821" s="75"/>
      <c r="E821" s="79">
        <v>0</v>
      </c>
      <c r="G821" s="75"/>
      <c r="H821" s="79">
        <v>0</v>
      </c>
    </row>
    <row r="822" spans="1:8" x14ac:dyDescent="0.2">
      <c r="A822" s="75"/>
      <c r="B822" s="79">
        <v>0</v>
      </c>
      <c r="D822" s="75"/>
      <c r="E822" s="79">
        <v>0</v>
      </c>
      <c r="G822" s="75"/>
      <c r="H822" s="79">
        <v>0</v>
      </c>
    </row>
    <row r="823" spans="1:8" x14ac:dyDescent="0.2">
      <c r="A823" s="75"/>
      <c r="B823" s="79">
        <v>0</v>
      </c>
      <c r="D823" s="75"/>
      <c r="E823" s="79">
        <v>0</v>
      </c>
      <c r="G823" s="75"/>
      <c r="H823" s="79">
        <v>0</v>
      </c>
    </row>
    <row r="824" spans="1:8" x14ac:dyDescent="0.2">
      <c r="A824" s="75"/>
      <c r="B824" s="79">
        <v>0</v>
      </c>
      <c r="D824" s="75"/>
      <c r="E824" s="79">
        <v>0</v>
      </c>
      <c r="G824" s="75"/>
      <c r="H824" s="79">
        <v>0</v>
      </c>
    </row>
    <row r="825" spans="1:8" x14ac:dyDescent="0.2">
      <c r="A825" s="75"/>
      <c r="B825" s="79">
        <v>0</v>
      </c>
      <c r="D825" s="75"/>
      <c r="E825" s="79">
        <v>0</v>
      </c>
      <c r="G825" s="75"/>
      <c r="H825" s="79">
        <v>0</v>
      </c>
    </row>
    <row r="826" spans="1:8" x14ac:dyDescent="0.2">
      <c r="A826" s="75"/>
      <c r="B826" s="79">
        <v>0</v>
      </c>
      <c r="D826" s="75"/>
      <c r="E826" s="79">
        <v>0</v>
      </c>
      <c r="G826" s="75"/>
      <c r="H826" s="79">
        <v>0</v>
      </c>
    </row>
    <row r="827" spans="1:8" x14ac:dyDescent="0.2">
      <c r="A827" s="75"/>
      <c r="B827" s="79">
        <v>0</v>
      </c>
      <c r="D827" s="75"/>
      <c r="E827" s="79">
        <v>0</v>
      </c>
      <c r="G827" s="75"/>
      <c r="H827" s="79">
        <v>0</v>
      </c>
    </row>
    <row r="828" spans="1:8" x14ac:dyDescent="0.2">
      <c r="A828" s="75"/>
      <c r="B828" s="79">
        <v>0</v>
      </c>
      <c r="D828" s="75"/>
      <c r="E828" s="79">
        <v>0</v>
      </c>
      <c r="G828" s="75"/>
      <c r="H828" s="79">
        <v>0</v>
      </c>
    </row>
    <row r="829" spans="1:8" x14ac:dyDescent="0.2">
      <c r="A829" s="75"/>
      <c r="B829" s="79">
        <v>0</v>
      </c>
      <c r="D829" s="75"/>
      <c r="E829" s="79">
        <v>0</v>
      </c>
      <c r="G829" s="75"/>
      <c r="H829" s="79">
        <v>0</v>
      </c>
    </row>
    <row r="830" spans="1:8" x14ac:dyDescent="0.2">
      <c r="A830" s="75"/>
      <c r="B830" s="79">
        <v>0</v>
      </c>
      <c r="D830" s="75"/>
      <c r="E830" s="79">
        <v>0</v>
      </c>
      <c r="G830" s="75"/>
      <c r="H830" s="79">
        <v>0</v>
      </c>
    </row>
    <row r="831" spans="1:8" x14ac:dyDescent="0.2">
      <c r="A831" s="75"/>
      <c r="B831" s="79">
        <v>0</v>
      </c>
      <c r="D831" s="75"/>
      <c r="E831" s="79">
        <v>0</v>
      </c>
      <c r="G831" s="75"/>
      <c r="H831" s="79">
        <v>0</v>
      </c>
    </row>
    <row r="832" spans="1:8" x14ac:dyDescent="0.2">
      <c r="A832" s="75"/>
      <c r="B832" s="79">
        <v>0</v>
      </c>
      <c r="D832" s="75"/>
      <c r="E832" s="79">
        <v>0</v>
      </c>
      <c r="G832" s="75"/>
      <c r="H832" s="79">
        <v>0</v>
      </c>
    </row>
    <row r="833" spans="1:8" x14ac:dyDescent="0.2">
      <c r="A833" s="75"/>
      <c r="B833" s="79">
        <v>0</v>
      </c>
      <c r="D833" s="75"/>
      <c r="E833" s="79">
        <v>0</v>
      </c>
      <c r="G833" s="75"/>
      <c r="H833" s="79">
        <v>0</v>
      </c>
    </row>
    <row r="834" spans="1:8" x14ac:dyDescent="0.2">
      <c r="A834" s="75"/>
      <c r="B834" s="79">
        <v>0</v>
      </c>
      <c r="D834" s="75"/>
      <c r="E834" s="79">
        <v>0</v>
      </c>
      <c r="G834" s="75"/>
      <c r="H834" s="79">
        <v>0</v>
      </c>
    </row>
    <row r="835" spans="1:8" x14ac:dyDescent="0.2">
      <c r="A835" s="75"/>
      <c r="B835" s="79">
        <v>0</v>
      </c>
      <c r="D835" s="75"/>
      <c r="E835" s="79">
        <v>0</v>
      </c>
      <c r="G835" s="75"/>
      <c r="H835" s="79">
        <v>0</v>
      </c>
    </row>
    <row r="836" spans="1:8" x14ac:dyDescent="0.2">
      <c r="A836" s="75"/>
      <c r="B836" s="79">
        <v>0</v>
      </c>
      <c r="D836" s="75"/>
      <c r="E836" s="79">
        <v>0</v>
      </c>
      <c r="G836" s="75"/>
      <c r="H836" s="79">
        <v>0</v>
      </c>
    </row>
    <row r="837" spans="1:8" x14ac:dyDescent="0.2">
      <c r="A837" s="75"/>
      <c r="B837" s="79">
        <v>0</v>
      </c>
      <c r="D837" s="75"/>
      <c r="E837" s="79">
        <v>0</v>
      </c>
      <c r="G837" s="75"/>
      <c r="H837" s="79">
        <v>0</v>
      </c>
    </row>
    <row r="838" spans="1:8" x14ac:dyDescent="0.2">
      <c r="A838" s="75"/>
      <c r="B838" s="79">
        <v>0</v>
      </c>
      <c r="D838" s="75"/>
      <c r="E838" s="79">
        <v>0</v>
      </c>
      <c r="G838" s="75"/>
      <c r="H838" s="79">
        <v>0</v>
      </c>
    </row>
    <row r="839" spans="1:8" x14ac:dyDescent="0.2">
      <c r="A839" s="75"/>
      <c r="B839" s="79">
        <v>0</v>
      </c>
      <c r="D839" s="75"/>
      <c r="E839" s="79">
        <v>0</v>
      </c>
      <c r="G839" s="75"/>
      <c r="H839" s="79">
        <v>0</v>
      </c>
    </row>
    <row r="840" spans="1:8" x14ac:dyDescent="0.2">
      <c r="A840" s="75"/>
      <c r="B840" s="79">
        <v>0</v>
      </c>
      <c r="D840" s="75"/>
      <c r="E840" s="79">
        <v>0</v>
      </c>
      <c r="G840" s="75"/>
      <c r="H840" s="79">
        <v>0</v>
      </c>
    </row>
    <row r="841" spans="1:8" x14ac:dyDescent="0.2">
      <c r="A841" s="75"/>
      <c r="B841" s="79">
        <v>0</v>
      </c>
      <c r="D841" s="75"/>
      <c r="E841" s="79">
        <v>0</v>
      </c>
      <c r="G841" s="75"/>
      <c r="H841" s="79">
        <v>0</v>
      </c>
    </row>
    <row r="842" spans="1:8" x14ac:dyDescent="0.2">
      <c r="A842" s="75"/>
      <c r="B842" s="79">
        <v>0</v>
      </c>
      <c r="D842" s="75"/>
      <c r="E842" s="79">
        <v>0</v>
      </c>
      <c r="G842" s="75"/>
      <c r="H842" s="79">
        <v>0</v>
      </c>
    </row>
    <row r="843" spans="1:8" x14ac:dyDescent="0.2">
      <c r="A843" s="75"/>
      <c r="B843" s="79">
        <v>0</v>
      </c>
      <c r="D843" s="75"/>
      <c r="E843" s="79">
        <v>0</v>
      </c>
      <c r="G843" s="75"/>
      <c r="H843" s="79">
        <v>0</v>
      </c>
    </row>
    <row r="844" spans="1:8" x14ac:dyDescent="0.2">
      <c r="A844" s="75"/>
      <c r="B844" s="79">
        <v>0</v>
      </c>
      <c r="D844" s="75"/>
      <c r="E844" s="79">
        <v>0</v>
      </c>
      <c r="G844" s="75"/>
      <c r="H844" s="79">
        <v>0</v>
      </c>
    </row>
    <row r="845" spans="1:8" x14ac:dyDescent="0.2">
      <c r="A845" s="75"/>
      <c r="B845" s="79">
        <v>0</v>
      </c>
      <c r="D845" s="75"/>
      <c r="E845" s="79">
        <v>0</v>
      </c>
      <c r="G845" s="75"/>
      <c r="H845" s="79">
        <v>0</v>
      </c>
    </row>
    <row r="846" spans="1:8" x14ac:dyDescent="0.2">
      <c r="A846" s="75"/>
      <c r="B846" s="79">
        <v>0</v>
      </c>
      <c r="D846" s="75"/>
      <c r="E846" s="79">
        <v>0</v>
      </c>
      <c r="G846" s="75"/>
      <c r="H846" s="79">
        <v>0</v>
      </c>
    </row>
    <row r="847" spans="1:8" x14ac:dyDescent="0.2">
      <c r="A847" s="75"/>
      <c r="B847" s="79">
        <v>0</v>
      </c>
      <c r="D847" s="75"/>
      <c r="E847" s="79">
        <v>0</v>
      </c>
      <c r="G847" s="75"/>
      <c r="H847" s="79">
        <v>0</v>
      </c>
    </row>
    <row r="848" spans="1:8" x14ac:dyDescent="0.2">
      <c r="A848" s="75"/>
      <c r="B848" s="79">
        <v>0</v>
      </c>
      <c r="D848" s="75"/>
      <c r="E848" s="79">
        <v>0</v>
      </c>
      <c r="G848" s="75"/>
      <c r="H848" s="79">
        <v>0</v>
      </c>
    </row>
    <row r="849" spans="1:8" x14ac:dyDescent="0.2">
      <c r="A849" s="75"/>
      <c r="B849" s="79">
        <v>0</v>
      </c>
      <c r="D849" s="75"/>
      <c r="E849" s="79">
        <v>0</v>
      </c>
      <c r="G849" s="75"/>
      <c r="H849" s="79">
        <v>0</v>
      </c>
    </row>
    <row r="850" spans="1:8" x14ac:dyDescent="0.2">
      <c r="A850" s="75"/>
      <c r="B850" s="79">
        <v>0</v>
      </c>
      <c r="D850" s="75"/>
      <c r="E850" s="79">
        <v>0</v>
      </c>
      <c r="G850" s="75"/>
      <c r="H850" s="79">
        <v>0</v>
      </c>
    </row>
    <row r="851" spans="1:8" x14ac:dyDescent="0.2">
      <c r="A851" s="75"/>
      <c r="B851" s="79">
        <v>0</v>
      </c>
      <c r="D851" s="75"/>
      <c r="E851" s="79">
        <v>0</v>
      </c>
      <c r="G851" s="75"/>
      <c r="H851" s="79">
        <v>0</v>
      </c>
    </row>
    <row r="852" spans="1:8" x14ac:dyDescent="0.2">
      <c r="A852" s="75"/>
      <c r="B852" s="79">
        <v>0</v>
      </c>
      <c r="D852" s="75"/>
      <c r="E852" s="79">
        <v>0</v>
      </c>
      <c r="G852" s="75"/>
      <c r="H852" s="79">
        <v>0</v>
      </c>
    </row>
    <row r="853" spans="1:8" x14ac:dyDescent="0.2">
      <c r="A853" s="75"/>
      <c r="B853" s="79">
        <v>0</v>
      </c>
      <c r="D853" s="75"/>
      <c r="E853" s="79">
        <v>0</v>
      </c>
      <c r="G853" s="75"/>
      <c r="H853" s="79">
        <v>0</v>
      </c>
    </row>
    <row r="854" spans="1:8" x14ac:dyDescent="0.2">
      <c r="A854" s="75"/>
      <c r="B854" s="79">
        <v>0</v>
      </c>
      <c r="D854" s="75"/>
      <c r="E854" s="79">
        <v>0</v>
      </c>
      <c r="G854" s="75"/>
      <c r="H854" s="79">
        <v>0</v>
      </c>
    </row>
    <row r="855" spans="1:8" x14ac:dyDescent="0.2">
      <c r="A855" s="75"/>
      <c r="B855" s="79">
        <v>0</v>
      </c>
      <c r="D855" s="75"/>
      <c r="E855" s="79">
        <v>0</v>
      </c>
      <c r="G855" s="75"/>
      <c r="H855" s="79">
        <v>0</v>
      </c>
    </row>
    <row r="856" spans="1:8" x14ac:dyDescent="0.2">
      <c r="A856" s="75"/>
      <c r="B856" s="79">
        <v>0</v>
      </c>
      <c r="D856" s="75"/>
      <c r="E856" s="79">
        <v>0</v>
      </c>
      <c r="G856" s="75"/>
      <c r="H856" s="79">
        <v>0</v>
      </c>
    </row>
    <row r="857" spans="1:8" x14ac:dyDescent="0.2">
      <c r="A857" s="75"/>
      <c r="B857" s="79">
        <v>0</v>
      </c>
      <c r="D857" s="75"/>
      <c r="E857" s="79">
        <v>0</v>
      </c>
      <c r="G857" s="75"/>
      <c r="H857" s="79">
        <v>0</v>
      </c>
    </row>
    <row r="858" spans="1:8" x14ac:dyDescent="0.2">
      <c r="A858" s="75"/>
      <c r="B858" s="79">
        <v>0</v>
      </c>
      <c r="D858" s="75"/>
      <c r="E858" s="79">
        <v>0</v>
      </c>
      <c r="G858" s="75"/>
      <c r="H858" s="79">
        <v>0</v>
      </c>
    </row>
    <row r="859" spans="1:8" x14ac:dyDescent="0.2">
      <c r="A859" s="75"/>
      <c r="B859" s="79">
        <v>0</v>
      </c>
      <c r="D859" s="75"/>
      <c r="E859" s="79">
        <v>0</v>
      </c>
      <c r="G859" s="75"/>
      <c r="H859" s="79">
        <v>0</v>
      </c>
    </row>
    <row r="860" spans="1:8" x14ac:dyDescent="0.2">
      <c r="A860" s="75"/>
      <c r="B860" s="79">
        <v>0</v>
      </c>
      <c r="D860" s="75"/>
      <c r="E860" s="79">
        <v>0</v>
      </c>
      <c r="G860" s="75"/>
      <c r="H860" s="79">
        <v>0</v>
      </c>
    </row>
    <row r="861" spans="1:8" x14ac:dyDescent="0.2">
      <c r="A861" s="75"/>
      <c r="B861" s="79">
        <v>0</v>
      </c>
      <c r="D861" s="75"/>
      <c r="E861" s="79">
        <v>0</v>
      </c>
      <c r="G861" s="75"/>
      <c r="H861" s="79">
        <v>0</v>
      </c>
    </row>
    <row r="862" spans="1:8" x14ac:dyDescent="0.2">
      <c r="A862" s="75"/>
      <c r="B862" s="79">
        <v>0</v>
      </c>
      <c r="D862" s="75"/>
      <c r="E862" s="79">
        <v>0</v>
      </c>
      <c r="G862" s="75"/>
      <c r="H862" s="79">
        <v>0</v>
      </c>
    </row>
    <row r="863" spans="1:8" x14ac:dyDescent="0.2">
      <c r="A863" s="75"/>
      <c r="B863" s="79">
        <v>0</v>
      </c>
      <c r="D863" s="75"/>
      <c r="E863" s="79">
        <v>0</v>
      </c>
      <c r="G863" s="75"/>
      <c r="H863" s="79">
        <v>0</v>
      </c>
    </row>
    <row r="864" spans="1:8" x14ac:dyDescent="0.2">
      <c r="A864" s="75"/>
      <c r="B864" s="79">
        <v>0</v>
      </c>
      <c r="D864" s="75"/>
      <c r="E864" s="79">
        <v>0</v>
      </c>
      <c r="G864" s="75"/>
      <c r="H864" s="79">
        <v>0</v>
      </c>
    </row>
    <row r="865" spans="1:8" x14ac:dyDescent="0.2">
      <c r="A865" s="75"/>
      <c r="B865" s="79">
        <v>0</v>
      </c>
      <c r="D865" s="75"/>
      <c r="E865" s="79">
        <v>0</v>
      </c>
      <c r="G865" s="75"/>
      <c r="H865" s="79">
        <v>0</v>
      </c>
    </row>
    <row r="866" spans="1:8" x14ac:dyDescent="0.2">
      <c r="A866" s="75"/>
      <c r="B866" s="79">
        <v>0</v>
      </c>
      <c r="D866" s="75"/>
      <c r="E866" s="79">
        <v>0</v>
      </c>
      <c r="G866" s="75"/>
      <c r="H866" s="79">
        <v>0</v>
      </c>
    </row>
    <row r="867" spans="1:8" x14ac:dyDescent="0.2">
      <c r="A867" s="75"/>
      <c r="B867" s="79">
        <v>0</v>
      </c>
      <c r="D867" s="75"/>
      <c r="E867" s="79">
        <v>0</v>
      </c>
      <c r="G867" s="75"/>
      <c r="H867" s="79">
        <v>0</v>
      </c>
    </row>
    <row r="868" spans="1:8" x14ac:dyDescent="0.2">
      <c r="A868" s="75"/>
      <c r="B868" s="79">
        <v>0</v>
      </c>
      <c r="D868" s="75"/>
      <c r="E868" s="79">
        <v>0</v>
      </c>
      <c r="G868" s="75"/>
      <c r="H868" s="79">
        <v>0</v>
      </c>
    </row>
    <row r="869" spans="1:8" x14ac:dyDescent="0.2">
      <c r="A869" s="75"/>
      <c r="B869" s="79">
        <v>0</v>
      </c>
      <c r="D869" s="75"/>
      <c r="E869" s="79">
        <v>0</v>
      </c>
      <c r="G869" s="75"/>
      <c r="H869" s="79">
        <v>0</v>
      </c>
    </row>
    <row r="870" spans="1:8" x14ac:dyDescent="0.2">
      <c r="A870" s="75"/>
      <c r="B870" s="79">
        <v>0</v>
      </c>
      <c r="D870" s="75"/>
      <c r="E870" s="79">
        <v>0</v>
      </c>
      <c r="G870" s="75"/>
      <c r="H870" s="79">
        <v>0</v>
      </c>
    </row>
    <row r="871" spans="1:8" x14ac:dyDescent="0.2">
      <c r="A871" s="75"/>
      <c r="B871" s="79">
        <v>0</v>
      </c>
      <c r="D871" s="75"/>
      <c r="E871" s="79">
        <v>0</v>
      </c>
      <c r="G871" s="75"/>
      <c r="H871" s="79">
        <v>0</v>
      </c>
    </row>
    <row r="872" spans="1:8" x14ac:dyDescent="0.2">
      <c r="A872" s="75"/>
      <c r="B872" s="79">
        <v>0</v>
      </c>
      <c r="D872" s="75"/>
      <c r="E872" s="79">
        <v>0</v>
      </c>
      <c r="G872" s="75"/>
      <c r="H872" s="79">
        <v>0</v>
      </c>
    </row>
    <row r="873" spans="1:8" x14ac:dyDescent="0.2">
      <c r="A873" s="75"/>
      <c r="B873" s="79">
        <v>0</v>
      </c>
      <c r="D873" s="75"/>
      <c r="E873" s="79">
        <v>0</v>
      </c>
      <c r="G873" s="75"/>
      <c r="H873" s="79">
        <v>0</v>
      </c>
    </row>
    <row r="874" spans="1:8" x14ac:dyDescent="0.2">
      <c r="A874" s="75"/>
      <c r="B874" s="79">
        <v>0</v>
      </c>
      <c r="D874" s="75"/>
      <c r="E874" s="79">
        <v>0</v>
      </c>
      <c r="G874" s="75"/>
      <c r="H874" s="79">
        <v>0</v>
      </c>
    </row>
    <row r="875" spans="1:8" x14ac:dyDescent="0.2">
      <c r="A875" s="75"/>
      <c r="B875" s="79">
        <v>0</v>
      </c>
      <c r="D875" s="75"/>
      <c r="E875" s="79">
        <v>0</v>
      </c>
      <c r="G875" s="75"/>
      <c r="H875" s="79">
        <v>0</v>
      </c>
    </row>
    <row r="876" spans="1:8" x14ac:dyDescent="0.2">
      <c r="A876" s="75"/>
      <c r="B876" s="79">
        <v>0</v>
      </c>
      <c r="D876" s="75"/>
      <c r="E876" s="79">
        <v>0</v>
      </c>
      <c r="G876" s="75"/>
      <c r="H876" s="79">
        <v>0</v>
      </c>
    </row>
    <row r="877" spans="1:8" x14ac:dyDescent="0.2">
      <c r="A877" s="75"/>
      <c r="B877" s="79">
        <v>0</v>
      </c>
      <c r="D877" s="75"/>
      <c r="E877" s="79">
        <v>0</v>
      </c>
      <c r="G877" s="75"/>
      <c r="H877" s="79">
        <v>0</v>
      </c>
    </row>
    <row r="878" spans="1:8" x14ac:dyDescent="0.2">
      <c r="A878" s="75"/>
      <c r="B878" s="79">
        <v>0</v>
      </c>
      <c r="D878" s="75"/>
      <c r="E878" s="79">
        <v>0</v>
      </c>
      <c r="G878" s="75"/>
      <c r="H878" s="79">
        <v>0</v>
      </c>
    </row>
    <row r="879" spans="1:8" x14ac:dyDescent="0.2">
      <c r="A879" s="75"/>
      <c r="B879" s="79">
        <v>0</v>
      </c>
      <c r="D879" s="75"/>
      <c r="E879" s="79">
        <v>0</v>
      </c>
      <c r="G879" s="75"/>
      <c r="H879" s="79">
        <v>0</v>
      </c>
    </row>
    <row r="880" spans="1:8" x14ac:dyDescent="0.2">
      <c r="A880" s="75"/>
      <c r="B880" s="79">
        <v>0</v>
      </c>
      <c r="D880" s="75"/>
      <c r="E880" s="79">
        <v>0</v>
      </c>
      <c r="G880" s="75"/>
      <c r="H880" s="79">
        <v>0</v>
      </c>
    </row>
    <row r="881" spans="1:8" x14ac:dyDescent="0.2">
      <c r="A881" s="75"/>
      <c r="B881" s="79">
        <v>0</v>
      </c>
      <c r="D881" s="75"/>
      <c r="E881" s="79">
        <v>0</v>
      </c>
      <c r="G881" s="75"/>
      <c r="H881" s="79">
        <v>0</v>
      </c>
    </row>
    <row r="882" spans="1:8" x14ac:dyDescent="0.2">
      <c r="A882" s="75"/>
      <c r="B882" s="79">
        <v>0</v>
      </c>
      <c r="D882" s="75"/>
      <c r="E882" s="79">
        <v>0</v>
      </c>
      <c r="G882" s="75"/>
      <c r="H882" s="79">
        <v>0</v>
      </c>
    </row>
    <row r="883" spans="1:8" x14ac:dyDescent="0.2">
      <c r="A883" s="75"/>
      <c r="B883" s="79">
        <v>0</v>
      </c>
      <c r="D883" s="75"/>
      <c r="E883" s="79">
        <v>0</v>
      </c>
      <c r="G883" s="75"/>
      <c r="H883" s="79">
        <v>0</v>
      </c>
    </row>
    <row r="884" spans="1:8" x14ac:dyDescent="0.2">
      <c r="A884" s="75"/>
      <c r="B884" s="79">
        <v>0</v>
      </c>
      <c r="D884" s="75"/>
      <c r="E884" s="79">
        <v>0</v>
      </c>
      <c r="G884" s="75"/>
      <c r="H884" s="79">
        <v>0</v>
      </c>
    </row>
    <row r="885" spans="1:8" x14ac:dyDescent="0.2">
      <c r="A885" s="75"/>
      <c r="B885" s="79">
        <v>0</v>
      </c>
      <c r="D885" s="75"/>
      <c r="E885" s="79">
        <v>0</v>
      </c>
      <c r="G885" s="75"/>
      <c r="H885" s="79">
        <v>0</v>
      </c>
    </row>
    <row r="886" spans="1:8" x14ac:dyDescent="0.2">
      <c r="A886" s="75"/>
      <c r="B886" s="79">
        <v>0</v>
      </c>
      <c r="D886" s="75"/>
      <c r="E886" s="79">
        <v>0</v>
      </c>
      <c r="G886" s="75"/>
      <c r="H886" s="79">
        <v>0</v>
      </c>
    </row>
    <row r="887" spans="1:8" x14ac:dyDescent="0.2">
      <c r="A887" s="75"/>
      <c r="B887" s="79">
        <v>0</v>
      </c>
      <c r="D887" s="75"/>
      <c r="E887" s="79">
        <v>0</v>
      </c>
      <c r="G887" s="75"/>
      <c r="H887" s="79">
        <v>0</v>
      </c>
    </row>
    <row r="888" spans="1:8" x14ac:dyDescent="0.2">
      <c r="A888" s="75"/>
      <c r="B888" s="79">
        <v>0</v>
      </c>
      <c r="D888" s="75"/>
      <c r="E888" s="79">
        <v>0</v>
      </c>
      <c r="G888" s="75"/>
      <c r="H888" s="79">
        <v>0</v>
      </c>
    </row>
    <row r="889" spans="1:8" x14ac:dyDescent="0.2">
      <c r="A889" s="75"/>
      <c r="B889" s="79">
        <v>0</v>
      </c>
      <c r="D889" s="75"/>
      <c r="E889" s="79">
        <v>0</v>
      </c>
      <c r="G889" s="75"/>
      <c r="H889" s="79">
        <v>0</v>
      </c>
    </row>
    <row r="890" spans="1:8" x14ac:dyDescent="0.2">
      <c r="A890" s="75"/>
      <c r="B890" s="79">
        <v>0</v>
      </c>
      <c r="D890" s="75"/>
      <c r="E890" s="79">
        <v>0</v>
      </c>
      <c r="G890" s="75"/>
      <c r="H890" s="79">
        <v>0</v>
      </c>
    </row>
    <row r="891" spans="1:8" x14ac:dyDescent="0.2">
      <c r="A891" s="75"/>
      <c r="B891" s="79">
        <v>0</v>
      </c>
      <c r="D891" s="75"/>
      <c r="E891" s="79">
        <v>0</v>
      </c>
      <c r="G891" s="75"/>
      <c r="H891" s="79">
        <v>0</v>
      </c>
    </row>
    <row r="892" spans="1:8" x14ac:dyDescent="0.2">
      <c r="A892" s="75"/>
      <c r="B892" s="79">
        <v>0</v>
      </c>
      <c r="D892" s="75"/>
      <c r="E892" s="79">
        <v>0</v>
      </c>
      <c r="G892" s="75"/>
      <c r="H892" s="79">
        <v>0</v>
      </c>
    </row>
    <row r="893" spans="1:8" x14ac:dyDescent="0.2">
      <c r="A893" s="75"/>
      <c r="B893" s="79">
        <v>0</v>
      </c>
      <c r="D893" s="75"/>
      <c r="E893" s="79">
        <v>0</v>
      </c>
      <c r="G893" s="75"/>
      <c r="H893" s="79">
        <v>0</v>
      </c>
    </row>
    <row r="894" spans="1:8" x14ac:dyDescent="0.2">
      <c r="A894" s="75"/>
      <c r="B894" s="79">
        <v>0</v>
      </c>
      <c r="D894" s="75"/>
      <c r="E894" s="79">
        <v>0</v>
      </c>
      <c r="G894" s="75"/>
      <c r="H894" s="79">
        <v>0</v>
      </c>
    </row>
    <row r="895" spans="1:8" x14ac:dyDescent="0.2">
      <c r="A895" s="75"/>
      <c r="B895" s="79">
        <v>0</v>
      </c>
      <c r="D895" s="75"/>
      <c r="E895" s="79">
        <v>0</v>
      </c>
      <c r="G895" s="75"/>
      <c r="H895" s="79">
        <v>0</v>
      </c>
    </row>
    <row r="896" spans="1:8" x14ac:dyDescent="0.2">
      <c r="A896" s="75"/>
      <c r="B896" s="79">
        <v>0</v>
      </c>
      <c r="D896" s="75"/>
      <c r="E896" s="79">
        <v>0</v>
      </c>
      <c r="G896" s="75"/>
      <c r="H896" s="79">
        <v>0</v>
      </c>
    </row>
    <row r="897" spans="1:8" x14ac:dyDescent="0.2">
      <c r="A897" s="75"/>
      <c r="B897" s="79">
        <v>0</v>
      </c>
      <c r="D897" s="75"/>
      <c r="E897" s="79">
        <v>0</v>
      </c>
      <c r="G897" s="75"/>
      <c r="H897" s="79">
        <v>0</v>
      </c>
    </row>
    <row r="898" spans="1:8" x14ac:dyDescent="0.2">
      <c r="A898" s="75"/>
      <c r="B898" s="79">
        <v>0</v>
      </c>
      <c r="D898" s="75"/>
      <c r="E898" s="79">
        <v>0</v>
      </c>
      <c r="G898" s="75"/>
      <c r="H898" s="79">
        <v>0</v>
      </c>
    </row>
    <row r="899" spans="1:8" x14ac:dyDescent="0.2">
      <c r="A899" s="75"/>
      <c r="B899" s="79">
        <v>0</v>
      </c>
      <c r="D899" s="75"/>
      <c r="E899" s="79">
        <v>0</v>
      </c>
      <c r="G899" s="75"/>
      <c r="H899" s="79">
        <v>0</v>
      </c>
    </row>
    <row r="900" spans="1:8" x14ac:dyDescent="0.2">
      <c r="A900" s="75"/>
      <c r="B900" s="79">
        <v>0</v>
      </c>
      <c r="D900" s="75"/>
      <c r="E900" s="79">
        <v>0</v>
      </c>
      <c r="G900" s="75"/>
      <c r="H900" s="79">
        <v>0</v>
      </c>
    </row>
    <row r="901" spans="1:8" x14ac:dyDescent="0.2">
      <c r="A901" s="75"/>
      <c r="B901" s="79">
        <v>0</v>
      </c>
      <c r="D901" s="75"/>
      <c r="E901" s="79">
        <v>0</v>
      </c>
      <c r="G901" s="75"/>
      <c r="H901" s="79">
        <v>0</v>
      </c>
    </row>
    <row r="902" spans="1:8" x14ac:dyDescent="0.2">
      <c r="A902" s="75"/>
      <c r="B902" s="79">
        <v>0</v>
      </c>
      <c r="D902" s="75"/>
      <c r="E902" s="79">
        <v>0</v>
      </c>
      <c r="G902" s="75"/>
      <c r="H902" s="79">
        <v>0</v>
      </c>
    </row>
    <row r="903" spans="1:8" x14ac:dyDescent="0.2">
      <c r="A903" s="75"/>
      <c r="B903" s="79">
        <v>0</v>
      </c>
      <c r="D903" s="75"/>
      <c r="E903" s="79">
        <v>0</v>
      </c>
      <c r="G903" s="75"/>
      <c r="H903" s="79">
        <v>0</v>
      </c>
    </row>
    <row r="904" spans="1:8" x14ac:dyDescent="0.2">
      <c r="A904" s="75"/>
      <c r="B904" s="79">
        <v>0</v>
      </c>
      <c r="D904" s="75"/>
      <c r="E904" s="79">
        <v>0</v>
      </c>
      <c r="G904" s="75"/>
      <c r="H904" s="79">
        <v>0</v>
      </c>
    </row>
    <row r="905" spans="1:8" x14ac:dyDescent="0.2">
      <c r="A905" s="75"/>
      <c r="B905" s="79">
        <v>0</v>
      </c>
      <c r="D905" s="75"/>
      <c r="E905" s="79">
        <v>0</v>
      </c>
      <c r="G905" s="75"/>
      <c r="H905" s="79">
        <v>0</v>
      </c>
    </row>
    <row r="906" spans="1:8" x14ac:dyDescent="0.2">
      <c r="A906" s="75"/>
      <c r="B906" s="79">
        <v>0</v>
      </c>
      <c r="D906" s="75"/>
      <c r="E906" s="79">
        <v>0</v>
      </c>
      <c r="G906" s="75"/>
      <c r="H906" s="79">
        <v>0</v>
      </c>
    </row>
    <row r="907" spans="1:8" x14ac:dyDescent="0.2">
      <c r="A907" s="75"/>
      <c r="B907" s="79">
        <v>0</v>
      </c>
      <c r="D907" s="75"/>
      <c r="E907" s="79">
        <v>0</v>
      </c>
      <c r="G907" s="75"/>
      <c r="H907" s="79">
        <v>0</v>
      </c>
    </row>
    <row r="908" spans="1:8" x14ac:dyDescent="0.2">
      <c r="A908" s="75"/>
      <c r="B908" s="79">
        <v>0</v>
      </c>
      <c r="D908" s="75"/>
      <c r="E908" s="79">
        <v>0</v>
      </c>
      <c r="G908" s="75"/>
      <c r="H908" s="79">
        <v>0</v>
      </c>
    </row>
    <row r="909" spans="1:8" x14ac:dyDescent="0.2">
      <c r="A909" s="75"/>
      <c r="B909" s="79">
        <v>0</v>
      </c>
      <c r="D909" s="75"/>
      <c r="E909" s="79">
        <v>0</v>
      </c>
      <c r="G909" s="75"/>
      <c r="H909" s="79">
        <v>0</v>
      </c>
    </row>
    <row r="910" spans="1:8" x14ac:dyDescent="0.2">
      <c r="A910" s="75"/>
      <c r="B910" s="79">
        <v>0</v>
      </c>
      <c r="D910" s="75"/>
      <c r="E910" s="79">
        <v>0</v>
      </c>
      <c r="G910" s="75"/>
      <c r="H910" s="79">
        <v>0</v>
      </c>
    </row>
    <row r="911" spans="1:8" x14ac:dyDescent="0.2">
      <c r="A911" s="75"/>
      <c r="B911" s="79">
        <v>0</v>
      </c>
      <c r="D911" s="75"/>
      <c r="E911" s="79">
        <v>0</v>
      </c>
      <c r="G911" s="75"/>
      <c r="H911" s="79">
        <v>0</v>
      </c>
    </row>
    <row r="912" spans="1:8" x14ac:dyDescent="0.2">
      <c r="A912" s="75"/>
      <c r="B912" s="79">
        <v>0</v>
      </c>
      <c r="D912" s="75"/>
      <c r="E912" s="79">
        <v>0</v>
      </c>
      <c r="G912" s="75"/>
      <c r="H912" s="79">
        <v>0</v>
      </c>
    </row>
    <row r="913" spans="1:8" x14ac:dyDescent="0.2">
      <c r="A913" s="75"/>
      <c r="B913" s="79">
        <v>0</v>
      </c>
      <c r="D913" s="75"/>
      <c r="E913" s="79">
        <v>0</v>
      </c>
      <c r="G913" s="75"/>
      <c r="H913" s="79">
        <v>0</v>
      </c>
    </row>
    <row r="914" spans="1:8" x14ac:dyDescent="0.2">
      <c r="A914" s="75"/>
      <c r="B914" s="79">
        <v>0</v>
      </c>
      <c r="D914" s="75"/>
      <c r="E914" s="79">
        <v>0</v>
      </c>
      <c r="G914" s="75"/>
      <c r="H914" s="79">
        <v>0</v>
      </c>
    </row>
    <row r="915" spans="1:8" x14ac:dyDescent="0.2">
      <c r="A915" s="75"/>
      <c r="B915" s="79">
        <v>0</v>
      </c>
      <c r="D915" s="75"/>
      <c r="E915" s="79">
        <v>0</v>
      </c>
      <c r="G915" s="75"/>
      <c r="H915" s="79">
        <v>0</v>
      </c>
    </row>
    <row r="916" spans="1:8" x14ac:dyDescent="0.2">
      <c r="A916" s="75"/>
      <c r="B916" s="79">
        <v>0</v>
      </c>
      <c r="D916" s="75"/>
      <c r="E916" s="79">
        <v>0</v>
      </c>
      <c r="G916" s="75"/>
      <c r="H916" s="79">
        <v>0</v>
      </c>
    </row>
    <row r="917" spans="1:8" x14ac:dyDescent="0.2">
      <c r="A917" s="75"/>
      <c r="B917" s="79">
        <v>0</v>
      </c>
      <c r="D917" s="75"/>
      <c r="E917" s="79">
        <v>0</v>
      </c>
      <c r="G917" s="75"/>
      <c r="H917" s="79">
        <v>0</v>
      </c>
    </row>
    <row r="918" spans="1:8" x14ac:dyDescent="0.2">
      <c r="A918" s="75"/>
      <c r="B918" s="79">
        <v>0</v>
      </c>
      <c r="D918" s="75"/>
      <c r="E918" s="79">
        <v>0</v>
      </c>
      <c r="G918" s="75"/>
      <c r="H918" s="79">
        <v>0</v>
      </c>
    </row>
    <row r="919" spans="1:8" x14ac:dyDescent="0.2">
      <c r="A919" s="75"/>
      <c r="B919" s="79">
        <v>0</v>
      </c>
      <c r="D919" s="75"/>
      <c r="E919" s="79">
        <v>0</v>
      </c>
      <c r="G919" s="75"/>
      <c r="H919" s="79">
        <v>0</v>
      </c>
    </row>
    <row r="920" spans="1:8" x14ac:dyDescent="0.2">
      <c r="A920" s="75"/>
      <c r="B920" s="79">
        <v>0</v>
      </c>
      <c r="D920" s="75"/>
      <c r="E920" s="79">
        <v>0</v>
      </c>
      <c r="G920" s="75"/>
      <c r="H920" s="79">
        <v>0</v>
      </c>
    </row>
    <row r="921" spans="1:8" x14ac:dyDescent="0.2">
      <c r="A921" s="75"/>
      <c r="B921" s="79">
        <v>0</v>
      </c>
      <c r="D921" s="75"/>
      <c r="E921" s="79">
        <v>0</v>
      </c>
      <c r="G921" s="75"/>
      <c r="H921" s="79">
        <v>0</v>
      </c>
    </row>
    <row r="922" spans="1:8" x14ac:dyDescent="0.2">
      <c r="A922" s="75"/>
      <c r="B922" s="79">
        <v>0</v>
      </c>
      <c r="D922" s="75"/>
      <c r="E922" s="79">
        <v>0</v>
      </c>
      <c r="G922" s="75"/>
      <c r="H922" s="79">
        <v>0</v>
      </c>
    </row>
    <row r="923" spans="1:8" x14ac:dyDescent="0.2">
      <c r="A923" s="75"/>
      <c r="B923" s="79">
        <v>0</v>
      </c>
      <c r="D923" s="75"/>
      <c r="E923" s="79">
        <v>0</v>
      </c>
      <c r="G923" s="75"/>
      <c r="H923" s="79">
        <v>0</v>
      </c>
    </row>
    <row r="924" spans="1:8" x14ac:dyDescent="0.2">
      <c r="A924" s="75"/>
      <c r="B924" s="79">
        <v>0</v>
      </c>
      <c r="D924" s="75"/>
      <c r="E924" s="79">
        <v>0</v>
      </c>
      <c r="G924" s="75"/>
      <c r="H924" s="79">
        <v>0</v>
      </c>
    </row>
    <row r="925" spans="1:8" x14ac:dyDescent="0.2">
      <c r="A925" s="75"/>
      <c r="B925" s="79">
        <v>0</v>
      </c>
      <c r="D925" s="75"/>
      <c r="E925" s="79">
        <v>0</v>
      </c>
      <c r="G925" s="75"/>
      <c r="H925" s="79">
        <v>0</v>
      </c>
    </row>
    <row r="926" spans="1:8" x14ac:dyDescent="0.2">
      <c r="A926" s="75"/>
      <c r="B926" s="79">
        <v>0</v>
      </c>
      <c r="D926" s="75"/>
      <c r="E926" s="79">
        <v>0</v>
      </c>
      <c r="G926" s="75"/>
      <c r="H926" s="79">
        <v>0</v>
      </c>
    </row>
    <row r="927" spans="1:8" x14ac:dyDescent="0.2">
      <c r="A927" s="75"/>
      <c r="B927" s="79">
        <v>0</v>
      </c>
      <c r="D927" s="75"/>
      <c r="E927" s="79">
        <v>0</v>
      </c>
      <c r="G927" s="75"/>
      <c r="H927" s="79">
        <v>0</v>
      </c>
    </row>
    <row r="928" spans="1:8" x14ac:dyDescent="0.2">
      <c r="A928" s="75"/>
      <c r="B928" s="79">
        <v>0</v>
      </c>
      <c r="D928" s="75"/>
      <c r="E928" s="79">
        <v>0</v>
      </c>
      <c r="G928" s="75"/>
      <c r="H928" s="79">
        <v>0</v>
      </c>
    </row>
    <row r="929" spans="1:8" x14ac:dyDescent="0.2">
      <c r="A929" s="75"/>
      <c r="B929" s="79">
        <v>0</v>
      </c>
      <c r="D929" s="75"/>
      <c r="E929" s="79">
        <v>0</v>
      </c>
      <c r="G929" s="75"/>
      <c r="H929" s="79">
        <v>0</v>
      </c>
    </row>
    <row r="930" spans="1:8" x14ac:dyDescent="0.2">
      <c r="A930" s="75"/>
      <c r="B930" s="79">
        <v>0</v>
      </c>
      <c r="D930" s="75"/>
      <c r="E930" s="79">
        <v>0</v>
      </c>
      <c r="G930" s="75"/>
      <c r="H930" s="79">
        <v>0</v>
      </c>
    </row>
    <row r="931" spans="1:8" x14ac:dyDescent="0.2">
      <c r="A931" s="75"/>
      <c r="B931" s="79">
        <v>0</v>
      </c>
      <c r="D931" s="75"/>
      <c r="E931" s="79">
        <v>0</v>
      </c>
      <c r="G931" s="75"/>
      <c r="H931" s="79">
        <v>0</v>
      </c>
    </row>
    <row r="932" spans="1:8" x14ac:dyDescent="0.2">
      <c r="A932" s="75"/>
      <c r="B932" s="79">
        <v>0</v>
      </c>
      <c r="D932" s="75"/>
      <c r="E932" s="79">
        <v>0</v>
      </c>
      <c r="G932" s="75"/>
      <c r="H932" s="79">
        <v>0</v>
      </c>
    </row>
    <row r="933" spans="1:8" x14ac:dyDescent="0.2">
      <c r="A933" s="75"/>
      <c r="B933" s="79">
        <v>0</v>
      </c>
      <c r="D933" s="75"/>
      <c r="E933" s="79">
        <v>0</v>
      </c>
      <c r="G933" s="75"/>
      <c r="H933" s="79">
        <v>0</v>
      </c>
    </row>
    <row r="934" spans="1:8" x14ac:dyDescent="0.2">
      <c r="A934" s="75"/>
      <c r="B934" s="79">
        <v>0</v>
      </c>
      <c r="D934" s="75"/>
      <c r="E934" s="79">
        <v>0</v>
      </c>
      <c r="G934" s="75"/>
      <c r="H934" s="79">
        <v>0</v>
      </c>
    </row>
    <row r="935" spans="1:8" x14ac:dyDescent="0.2">
      <c r="A935" s="75"/>
      <c r="B935" s="79">
        <v>0</v>
      </c>
      <c r="D935" s="75"/>
      <c r="E935" s="79">
        <v>0</v>
      </c>
      <c r="G935" s="75"/>
      <c r="H935" s="79">
        <v>0</v>
      </c>
    </row>
    <row r="936" spans="1:8" x14ac:dyDescent="0.2">
      <c r="A936" s="75"/>
      <c r="B936" s="79">
        <v>0</v>
      </c>
      <c r="D936" s="75"/>
      <c r="E936" s="79">
        <v>0</v>
      </c>
      <c r="G936" s="75"/>
      <c r="H936" s="79">
        <v>0</v>
      </c>
    </row>
    <row r="937" spans="1:8" x14ac:dyDescent="0.2">
      <c r="A937" s="75"/>
      <c r="B937" s="79">
        <v>0</v>
      </c>
      <c r="D937" s="75"/>
      <c r="E937" s="79">
        <v>0</v>
      </c>
      <c r="G937" s="75"/>
      <c r="H937" s="79">
        <v>0</v>
      </c>
    </row>
    <row r="938" spans="1:8" x14ac:dyDescent="0.2">
      <c r="A938" s="75"/>
      <c r="B938" s="79">
        <v>0</v>
      </c>
      <c r="D938" s="75"/>
      <c r="E938" s="79">
        <v>0</v>
      </c>
      <c r="G938" s="75"/>
      <c r="H938" s="79">
        <v>0</v>
      </c>
    </row>
    <row r="939" spans="1:8" x14ac:dyDescent="0.2">
      <c r="A939" s="75"/>
      <c r="B939" s="79">
        <v>0</v>
      </c>
      <c r="D939" s="75"/>
      <c r="E939" s="79">
        <v>0</v>
      </c>
      <c r="G939" s="75"/>
      <c r="H939" s="79">
        <v>0</v>
      </c>
    </row>
    <row r="940" spans="1:8" x14ac:dyDescent="0.2">
      <c r="A940" s="75"/>
      <c r="B940" s="79">
        <v>0</v>
      </c>
      <c r="D940" s="75"/>
      <c r="E940" s="79">
        <v>0</v>
      </c>
      <c r="G940" s="75"/>
      <c r="H940" s="79">
        <v>0</v>
      </c>
    </row>
    <row r="941" spans="1:8" x14ac:dyDescent="0.2">
      <c r="A941" s="75"/>
      <c r="B941" s="79">
        <v>0</v>
      </c>
      <c r="D941" s="75"/>
      <c r="E941" s="79">
        <v>0</v>
      </c>
      <c r="G941" s="75"/>
      <c r="H941" s="79">
        <v>0</v>
      </c>
    </row>
    <row r="942" spans="1:8" x14ac:dyDescent="0.2">
      <c r="A942" s="75"/>
      <c r="B942" s="79">
        <v>0</v>
      </c>
      <c r="D942" s="75"/>
      <c r="E942" s="79">
        <v>0</v>
      </c>
      <c r="G942" s="75"/>
      <c r="H942" s="79">
        <v>0</v>
      </c>
    </row>
    <row r="943" spans="1:8" x14ac:dyDescent="0.2">
      <c r="A943" s="75"/>
      <c r="B943" s="79">
        <v>0</v>
      </c>
      <c r="D943" s="75"/>
      <c r="E943" s="79">
        <v>0</v>
      </c>
      <c r="G943" s="75"/>
      <c r="H943" s="79">
        <v>0</v>
      </c>
    </row>
    <row r="944" spans="1:8" x14ac:dyDescent="0.2">
      <c r="A944" s="75"/>
      <c r="B944" s="79">
        <v>0</v>
      </c>
      <c r="D944" s="75"/>
      <c r="E944" s="79">
        <v>0</v>
      </c>
      <c r="G944" s="75"/>
      <c r="H944" s="79">
        <v>0</v>
      </c>
    </row>
    <row r="945" spans="1:8" x14ac:dyDescent="0.2">
      <c r="A945" s="75"/>
      <c r="B945" s="79">
        <v>0</v>
      </c>
      <c r="D945" s="75"/>
      <c r="E945" s="79">
        <v>0</v>
      </c>
      <c r="G945" s="75"/>
      <c r="H945" s="79">
        <v>0</v>
      </c>
    </row>
    <row r="946" spans="1:8" x14ac:dyDescent="0.2">
      <c r="A946" s="75"/>
      <c r="B946" s="79">
        <v>0</v>
      </c>
      <c r="D946" s="75"/>
      <c r="E946" s="79">
        <v>0</v>
      </c>
      <c r="G946" s="75"/>
      <c r="H946" s="79">
        <v>0</v>
      </c>
    </row>
    <row r="947" spans="1:8" x14ac:dyDescent="0.2">
      <c r="A947" s="75"/>
      <c r="B947" s="79">
        <v>0</v>
      </c>
      <c r="D947" s="75"/>
      <c r="E947" s="79">
        <v>0</v>
      </c>
      <c r="G947" s="75"/>
      <c r="H947" s="79">
        <v>0</v>
      </c>
    </row>
    <row r="948" spans="1:8" x14ac:dyDescent="0.2">
      <c r="A948" s="75"/>
      <c r="B948" s="79">
        <v>0</v>
      </c>
      <c r="D948" s="75"/>
      <c r="E948" s="79">
        <v>0</v>
      </c>
      <c r="G948" s="75"/>
      <c r="H948" s="79">
        <v>0</v>
      </c>
    </row>
    <row r="949" spans="1:8" x14ac:dyDescent="0.2">
      <c r="A949" s="75"/>
      <c r="B949" s="79">
        <v>0</v>
      </c>
      <c r="D949" s="75"/>
      <c r="E949" s="79">
        <v>0</v>
      </c>
      <c r="G949" s="75"/>
      <c r="H949" s="79">
        <v>0</v>
      </c>
    </row>
    <row r="950" spans="1:8" x14ac:dyDescent="0.2">
      <c r="A950" s="75"/>
      <c r="B950" s="79">
        <v>0</v>
      </c>
      <c r="D950" s="75"/>
      <c r="E950" s="79">
        <v>0</v>
      </c>
      <c r="G950" s="75"/>
      <c r="H950" s="79">
        <v>0</v>
      </c>
    </row>
    <row r="951" spans="1:8" x14ac:dyDescent="0.2">
      <c r="A951" s="75"/>
      <c r="B951" s="79">
        <v>0</v>
      </c>
      <c r="D951" s="75"/>
      <c r="E951" s="79">
        <v>0</v>
      </c>
      <c r="G951" s="75"/>
      <c r="H951" s="79">
        <v>0</v>
      </c>
    </row>
    <row r="952" spans="1:8" x14ac:dyDescent="0.2">
      <c r="A952" s="75"/>
      <c r="B952" s="79">
        <v>0</v>
      </c>
      <c r="D952" s="75"/>
      <c r="E952" s="79">
        <v>0</v>
      </c>
      <c r="G952" s="75"/>
      <c r="H952" s="79">
        <v>0</v>
      </c>
    </row>
    <row r="953" spans="1:8" x14ac:dyDescent="0.2">
      <c r="A953" s="75"/>
      <c r="B953" s="79">
        <v>0</v>
      </c>
      <c r="D953" s="75"/>
      <c r="E953" s="79">
        <v>0</v>
      </c>
      <c r="G953" s="75"/>
      <c r="H953" s="79">
        <v>0</v>
      </c>
    </row>
    <row r="954" spans="1:8" x14ac:dyDescent="0.2">
      <c r="A954" s="75"/>
      <c r="B954" s="79">
        <v>0</v>
      </c>
      <c r="D954" s="75"/>
      <c r="E954" s="79">
        <v>0</v>
      </c>
      <c r="G954" s="75"/>
      <c r="H954" s="79">
        <v>0</v>
      </c>
    </row>
    <row r="955" spans="1:8" x14ac:dyDescent="0.2">
      <c r="A955" s="75"/>
      <c r="B955" s="79">
        <v>0</v>
      </c>
      <c r="D955" s="75"/>
      <c r="E955" s="79">
        <v>0</v>
      </c>
      <c r="G955" s="75"/>
      <c r="H955" s="79">
        <v>0</v>
      </c>
    </row>
    <row r="956" spans="1:8" x14ac:dyDescent="0.2">
      <c r="A956" s="75"/>
      <c r="B956" s="79">
        <v>0</v>
      </c>
      <c r="D956" s="75"/>
      <c r="E956" s="79">
        <v>0</v>
      </c>
      <c r="G956" s="75"/>
      <c r="H956" s="79">
        <v>0</v>
      </c>
    </row>
    <row r="957" spans="1:8" x14ac:dyDescent="0.2">
      <c r="A957" s="75"/>
      <c r="B957" s="79">
        <v>0</v>
      </c>
      <c r="D957" s="75"/>
      <c r="E957" s="79">
        <v>0</v>
      </c>
      <c r="G957" s="75"/>
      <c r="H957" s="79">
        <v>0</v>
      </c>
    </row>
    <row r="958" spans="1:8" x14ac:dyDescent="0.2">
      <c r="A958" s="75"/>
      <c r="B958" s="79">
        <v>0</v>
      </c>
      <c r="D958" s="75"/>
      <c r="E958" s="79">
        <v>0</v>
      </c>
      <c r="G958" s="75"/>
      <c r="H958" s="79">
        <v>0</v>
      </c>
    </row>
    <row r="959" spans="1:8" x14ac:dyDescent="0.2">
      <c r="A959" s="75"/>
      <c r="B959" s="79">
        <v>0</v>
      </c>
      <c r="D959" s="75"/>
      <c r="E959" s="79">
        <v>0</v>
      </c>
      <c r="G959" s="75"/>
      <c r="H959" s="79">
        <v>0</v>
      </c>
    </row>
    <row r="960" spans="1:8" x14ac:dyDescent="0.2">
      <c r="A960" s="75"/>
      <c r="B960" s="79">
        <v>0</v>
      </c>
      <c r="D960" s="75"/>
      <c r="E960" s="79">
        <v>0</v>
      </c>
      <c r="G960" s="75"/>
      <c r="H960" s="79">
        <v>0</v>
      </c>
    </row>
    <row r="961" spans="1:8" x14ac:dyDescent="0.2">
      <c r="A961" s="75"/>
      <c r="B961" s="79">
        <v>0</v>
      </c>
      <c r="D961" s="75"/>
      <c r="E961" s="79">
        <v>0</v>
      </c>
      <c r="G961" s="75"/>
      <c r="H961" s="79">
        <v>0</v>
      </c>
    </row>
    <row r="962" spans="1:8" x14ac:dyDescent="0.2">
      <c r="A962" s="75"/>
      <c r="B962" s="79">
        <v>0</v>
      </c>
      <c r="D962" s="75"/>
      <c r="E962" s="79">
        <v>0</v>
      </c>
      <c r="G962" s="75"/>
      <c r="H962" s="79">
        <v>0</v>
      </c>
    </row>
    <row r="963" spans="1:8" x14ac:dyDescent="0.2">
      <c r="A963" s="75"/>
      <c r="B963" s="79">
        <v>0</v>
      </c>
      <c r="D963" s="75"/>
      <c r="E963" s="79">
        <v>0</v>
      </c>
      <c r="G963" s="75"/>
      <c r="H963" s="79">
        <v>0</v>
      </c>
    </row>
    <row r="964" spans="1:8" x14ac:dyDescent="0.2">
      <c r="A964" s="75"/>
      <c r="B964" s="79">
        <v>0</v>
      </c>
      <c r="D964" s="75"/>
      <c r="E964" s="79">
        <v>0</v>
      </c>
      <c r="G964" s="75"/>
      <c r="H964" s="79">
        <v>0</v>
      </c>
    </row>
    <row r="965" spans="1:8" x14ac:dyDescent="0.2">
      <c r="A965" s="75"/>
      <c r="B965" s="79">
        <v>0</v>
      </c>
      <c r="D965" s="75"/>
      <c r="E965" s="79">
        <v>0</v>
      </c>
      <c r="G965" s="75"/>
      <c r="H965" s="79">
        <v>0</v>
      </c>
    </row>
    <row r="966" spans="1:8" x14ac:dyDescent="0.2">
      <c r="A966" s="75"/>
      <c r="B966" s="79">
        <v>0</v>
      </c>
      <c r="D966" s="75"/>
      <c r="E966" s="79">
        <v>0</v>
      </c>
      <c r="G966" s="75"/>
      <c r="H966" s="79">
        <v>0</v>
      </c>
    </row>
    <row r="967" spans="1:8" x14ac:dyDescent="0.2">
      <c r="A967" s="75"/>
      <c r="B967" s="79">
        <v>0</v>
      </c>
      <c r="D967" s="75"/>
      <c r="E967" s="79">
        <v>0</v>
      </c>
      <c r="G967" s="75"/>
      <c r="H967" s="79">
        <v>0</v>
      </c>
    </row>
    <row r="968" spans="1:8" x14ac:dyDescent="0.2">
      <c r="A968" s="75"/>
      <c r="B968" s="79">
        <v>0</v>
      </c>
      <c r="D968" s="75"/>
      <c r="E968" s="79">
        <v>0</v>
      </c>
      <c r="G968" s="75"/>
      <c r="H968" s="79">
        <v>0</v>
      </c>
    </row>
    <row r="969" spans="1:8" x14ac:dyDescent="0.2">
      <c r="A969" s="75"/>
      <c r="B969" s="79">
        <v>0</v>
      </c>
      <c r="D969" s="75"/>
      <c r="E969" s="79">
        <v>0</v>
      </c>
      <c r="G969" s="75"/>
      <c r="H969" s="79">
        <v>0</v>
      </c>
    </row>
    <row r="970" spans="1:8" x14ac:dyDescent="0.2">
      <c r="A970" s="75"/>
      <c r="B970" s="79">
        <v>0</v>
      </c>
      <c r="D970" s="75"/>
      <c r="E970" s="79">
        <v>0</v>
      </c>
      <c r="G970" s="75"/>
      <c r="H970" s="79">
        <v>0</v>
      </c>
    </row>
    <row r="971" spans="1:8" x14ac:dyDescent="0.2">
      <c r="A971" s="75"/>
      <c r="B971" s="79">
        <v>0</v>
      </c>
      <c r="D971" s="75"/>
      <c r="E971" s="79">
        <v>0</v>
      </c>
      <c r="G971" s="75"/>
      <c r="H971" s="79">
        <v>0</v>
      </c>
    </row>
    <row r="972" spans="1:8" x14ac:dyDescent="0.2">
      <c r="A972" s="75"/>
      <c r="B972" s="79">
        <v>0</v>
      </c>
      <c r="D972" s="75"/>
      <c r="E972" s="79">
        <v>0</v>
      </c>
      <c r="G972" s="75"/>
      <c r="H972" s="79">
        <v>0</v>
      </c>
    </row>
    <row r="973" spans="1:8" x14ac:dyDescent="0.2">
      <c r="A973" s="75"/>
      <c r="B973" s="79">
        <v>0</v>
      </c>
      <c r="D973" s="75"/>
      <c r="E973" s="79">
        <v>0</v>
      </c>
      <c r="G973" s="75"/>
      <c r="H973" s="79">
        <v>0</v>
      </c>
    </row>
    <row r="974" spans="1:8" x14ac:dyDescent="0.2">
      <c r="A974" s="75"/>
      <c r="B974" s="79">
        <v>0</v>
      </c>
      <c r="D974" s="75"/>
      <c r="E974" s="79">
        <v>0</v>
      </c>
      <c r="G974" s="75"/>
      <c r="H974" s="79">
        <v>0</v>
      </c>
    </row>
    <row r="975" spans="1:8" x14ac:dyDescent="0.2">
      <c r="A975" s="75"/>
      <c r="B975" s="79">
        <v>0</v>
      </c>
      <c r="D975" s="75"/>
      <c r="E975" s="79">
        <v>0</v>
      </c>
      <c r="G975" s="75"/>
      <c r="H975" s="79">
        <v>0</v>
      </c>
    </row>
    <row r="976" spans="1:8" x14ac:dyDescent="0.2">
      <c r="A976" s="75"/>
      <c r="B976" s="79">
        <v>0</v>
      </c>
      <c r="D976" s="75"/>
      <c r="E976" s="79">
        <v>0</v>
      </c>
      <c r="G976" s="75"/>
      <c r="H976" s="79">
        <v>0</v>
      </c>
    </row>
    <row r="977" spans="1:8" x14ac:dyDescent="0.2">
      <c r="A977" s="75"/>
      <c r="B977" s="79">
        <v>0</v>
      </c>
      <c r="D977" s="75"/>
      <c r="E977" s="79">
        <v>0</v>
      </c>
      <c r="G977" s="75"/>
      <c r="H977" s="79">
        <v>0</v>
      </c>
    </row>
    <row r="978" spans="1:8" x14ac:dyDescent="0.2">
      <c r="A978" s="75"/>
      <c r="B978" s="79">
        <v>0</v>
      </c>
      <c r="D978" s="75"/>
      <c r="E978" s="79">
        <v>0</v>
      </c>
      <c r="G978" s="75"/>
      <c r="H978" s="79">
        <v>0</v>
      </c>
    </row>
    <row r="979" spans="1:8" x14ac:dyDescent="0.2">
      <c r="A979" s="75"/>
      <c r="B979" s="79">
        <v>0</v>
      </c>
      <c r="D979" s="75"/>
      <c r="E979" s="79">
        <v>0</v>
      </c>
      <c r="G979" s="75"/>
      <c r="H979" s="79">
        <v>0</v>
      </c>
    </row>
    <row r="980" spans="1:8" x14ac:dyDescent="0.2">
      <c r="A980" s="75"/>
      <c r="B980" s="79">
        <v>0</v>
      </c>
      <c r="D980" s="75"/>
      <c r="E980" s="79">
        <v>0</v>
      </c>
      <c r="G980" s="75"/>
      <c r="H980" s="79">
        <v>0</v>
      </c>
    </row>
    <row r="981" spans="1:8" x14ac:dyDescent="0.2">
      <c r="A981" s="75"/>
      <c r="B981" s="79">
        <v>0</v>
      </c>
      <c r="D981" s="75"/>
      <c r="E981" s="79">
        <v>0</v>
      </c>
      <c r="G981" s="75"/>
      <c r="H981" s="79">
        <v>0</v>
      </c>
    </row>
    <row r="982" spans="1:8" x14ac:dyDescent="0.2">
      <c r="A982" s="75"/>
      <c r="B982" s="79">
        <v>0</v>
      </c>
      <c r="D982" s="75"/>
      <c r="E982" s="79">
        <v>0</v>
      </c>
      <c r="G982" s="75"/>
      <c r="H982" s="79">
        <v>0</v>
      </c>
    </row>
    <row r="983" spans="1:8" x14ac:dyDescent="0.2">
      <c r="A983" s="75"/>
      <c r="B983" s="79">
        <v>0</v>
      </c>
      <c r="D983" s="75"/>
      <c r="E983" s="79">
        <v>0</v>
      </c>
      <c r="G983" s="75"/>
      <c r="H983" s="79">
        <v>0</v>
      </c>
    </row>
    <row r="984" spans="1:8" x14ac:dyDescent="0.2">
      <c r="A984" s="75"/>
      <c r="B984" s="79">
        <v>0</v>
      </c>
      <c r="D984" s="75"/>
      <c r="E984" s="79">
        <v>0</v>
      </c>
      <c r="G984" s="75"/>
      <c r="H984" s="79">
        <v>0</v>
      </c>
    </row>
    <row r="985" spans="1:8" x14ac:dyDescent="0.2">
      <c r="A985" s="75"/>
      <c r="B985" s="79">
        <v>0</v>
      </c>
      <c r="D985" s="75"/>
      <c r="E985" s="79">
        <v>0</v>
      </c>
      <c r="G985" s="75"/>
      <c r="H985" s="79">
        <v>0</v>
      </c>
    </row>
    <row r="986" spans="1:8" x14ac:dyDescent="0.2">
      <c r="A986" s="75"/>
      <c r="B986" s="79">
        <v>0</v>
      </c>
      <c r="D986" s="75"/>
      <c r="E986" s="79">
        <v>0</v>
      </c>
      <c r="G986" s="75"/>
      <c r="H986" s="79">
        <v>0</v>
      </c>
    </row>
    <row r="987" spans="1:8" x14ac:dyDescent="0.2">
      <c r="A987" s="75"/>
      <c r="B987" s="79">
        <v>0</v>
      </c>
      <c r="D987" s="75"/>
      <c r="E987" s="79">
        <v>0</v>
      </c>
      <c r="G987" s="75"/>
      <c r="H987" s="79">
        <v>0</v>
      </c>
    </row>
    <row r="988" spans="1:8" x14ac:dyDescent="0.2">
      <c r="A988" s="75"/>
      <c r="B988" s="79">
        <v>0</v>
      </c>
      <c r="D988" s="75"/>
      <c r="E988" s="79">
        <v>0</v>
      </c>
      <c r="G988" s="75"/>
      <c r="H988" s="79">
        <v>0</v>
      </c>
    </row>
    <row r="989" spans="1:8" x14ac:dyDescent="0.2">
      <c r="A989" s="75"/>
      <c r="B989" s="79">
        <v>0</v>
      </c>
      <c r="D989" s="75"/>
      <c r="E989" s="79">
        <v>0</v>
      </c>
      <c r="G989" s="75"/>
      <c r="H989" s="79">
        <v>0</v>
      </c>
    </row>
    <row r="990" spans="1:8" x14ac:dyDescent="0.2">
      <c r="A990" s="75"/>
      <c r="B990" s="79">
        <v>0</v>
      </c>
      <c r="D990" s="75"/>
      <c r="E990" s="79">
        <v>0</v>
      </c>
      <c r="G990" s="75"/>
      <c r="H990" s="79">
        <v>0</v>
      </c>
    </row>
    <row r="991" spans="1:8" x14ac:dyDescent="0.2">
      <c r="A991" s="75"/>
      <c r="B991" s="79">
        <v>0</v>
      </c>
      <c r="D991" s="75"/>
      <c r="E991" s="79">
        <v>0</v>
      </c>
      <c r="G991" s="75"/>
      <c r="H991" s="79">
        <v>0</v>
      </c>
    </row>
    <row r="992" spans="1:8" x14ac:dyDescent="0.2">
      <c r="A992" s="75"/>
      <c r="B992" s="79">
        <v>0</v>
      </c>
      <c r="D992" s="75"/>
      <c r="E992" s="79">
        <v>0</v>
      </c>
      <c r="G992" s="75"/>
      <c r="H992" s="79">
        <v>0</v>
      </c>
    </row>
    <row r="993" spans="1:8" x14ac:dyDescent="0.2">
      <c r="A993" s="75"/>
      <c r="B993" s="79">
        <v>0</v>
      </c>
      <c r="D993" s="75"/>
      <c r="E993" s="79">
        <v>0</v>
      </c>
      <c r="G993" s="75"/>
      <c r="H993" s="79">
        <v>0</v>
      </c>
    </row>
    <row r="994" spans="1:8" x14ac:dyDescent="0.2">
      <c r="A994" s="75"/>
      <c r="B994" s="79">
        <v>0</v>
      </c>
      <c r="D994" s="75"/>
      <c r="E994" s="79">
        <v>0</v>
      </c>
      <c r="G994" s="75"/>
      <c r="H994" s="79">
        <v>0</v>
      </c>
    </row>
    <row r="995" spans="1:8" x14ac:dyDescent="0.2">
      <c r="A995" s="75"/>
      <c r="B995" s="79">
        <v>0</v>
      </c>
      <c r="D995" s="75"/>
      <c r="E995" s="79">
        <v>0</v>
      </c>
      <c r="G995" s="75"/>
      <c r="H995" s="79">
        <v>0</v>
      </c>
    </row>
    <row r="996" spans="1:8" x14ac:dyDescent="0.2">
      <c r="A996" s="75"/>
      <c r="B996" s="79">
        <v>0</v>
      </c>
      <c r="D996" s="75"/>
      <c r="E996" s="79">
        <v>0</v>
      </c>
      <c r="G996" s="75"/>
      <c r="H996" s="79">
        <v>0</v>
      </c>
    </row>
    <row r="997" spans="1:8" x14ac:dyDescent="0.2">
      <c r="A997" s="75"/>
      <c r="B997" s="79">
        <v>0</v>
      </c>
      <c r="D997" s="75"/>
      <c r="E997" s="79">
        <v>0</v>
      </c>
      <c r="G997" s="75"/>
      <c r="H997" s="79">
        <v>0</v>
      </c>
    </row>
    <row r="998" spans="1:8" x14ac:dyDescent="0.2">
      <c r="A998" s="75"/>
      <c r="B998" s="79">
        <v>0</v>
      </c>
      <c r="D998" s="75"/>
      <c r="E998" s="79">
        <v>0</v>
      </c>
      <c r="G998" s="75"/>
      <c r="H998" s="79">
        <v>0</v>
      </c>
    </row>
    <row r="999" spans="1:8" x14ac:dyDescent="0.2">
      <c r="A999" s="75"/>
      <c r="B999" s="79">
        <v>0</v>
      </c>
      <c r="D999" s="75"/>
      <c r="E999" s="79">
        <v>0</v>
      </c>
      <c r="G999" s="75"/>
      <c r="H999" s="79">
        <v>0</v>
      </c>
    </row>
    <row r="1000" spans="1:8" x14ac:dyDescent="0.2">
      <c r="A1000" s="75"/>
      <c r="B1000" s="79">
        <v>0</v>
      </c>
      <c r="D1000" s="75"/>
      <c r="E1000" s="79">
        <v>0</v>
      </c>
      <c r="G1000" s="75"/>
      <c r="H1000" s="79">
        <v>0</v>
      </c>
    </row>
    <row r="1001" spans="1:8" x14ac:dyDescent="0.2">
      <c r="A1001" s="75"/>
      <c r="B1001" s="79">
        <v>0</v>
      </c>
      <c r="D1001" s="75"/>
      <c r="E1001" s="79">
        <v>0</v>
      </c>
      <c r="G1001" s="75"/>
      <c r="H1001" s="79">
        <v>0</v>
      </c>
    </row>
    <row r="1002" spans="1:8" x14ac:dyDescent="0.2">
      <c r="A1002" s="76"/>
      <c r="B1002" s="80">
        <v>0</v>
      </c>
      <c r="D1002" s="76"/>
      <c r="E1002" s="80">
        <v>0</v>
      </c>
      <c r="G1002" s="76"/>
      <c r="H1002" s="80">
        <v>0</v>
      </c>
    </row>
  </sheetData>
  <pageMargins left="0.7" right="0.7" top="0.75" bottom="0.75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102"/>
  <sheetViews>
    <sheetView showGridLines="0" workbookViewId="0">
      <selection activeCell="A10" sqref="A10"/>
    </sheetView>
  </sheetViews>
  <sheetFormatPr defaultColWidth="11.42578125" defaultRowHeight="12.75" x14ac:dyDescent="0.2"/>
  <cols>
    <col min="1" max="2" width="12.42578125" style="61" customWidth="1"/>
    <col min="3" max="3" width="3.140625" style="61" customWidth="1"/>
    <col min="4" max="6" width="16" style="61" customWidth="1"/>
    <col min="7" max="11" width="11.42578125" style="61"/>
    <col min="12" max="12" width="14.42578125" style="61" customWidth="1"/>
    <col min="13" max="16384" width="11.42578125" style="61"/>
  </cols>
  <sheetData>
    <row r="1" spans="1:6" x14ac:dyDescent="0.2">
      <c r="A1" s="61" t="s">
        <v>953</v>
      </c>
      <c r="D1" s="61" t="s">
        <v>954</v>
      </c>
    </row>
    <row r="2" spans="1:6" x14ac:dyDescent="0.2">
      <c r="A2" s="61" t="s">
        <v>955</v>
      </c>
      <c r="B2" s="81" t="s">
        <v>956</v>
      </c>
      <c r="D2" s="63" t="s">
        <v>957</v>
      </c>
      <c r="E2" s="63" t="s">
        <v>958</v>
      </c>
      <c r="F2" s="63" t="s">
        <v>959</v>
      </c>
    </row>
    <row r="3" spans="1:6" x14ac:dyDescent="0.2">
      <c r="A3" s="61" t="s">
        <v>960</v>
      </c>
      <c r="B3" s="82" t="s">
        <v>961</v>
      </c>
      <c r="D3" s="73" t="s">
        <v>962</v>
      </c>
      <c r="E3" s="73" t="s">
        <v>963</v>
      </c>
      <c r="F3" s="78" t="str">
        <f t="array" ref="F3:F102">IpSubtractSubnets(D3:D102,E3:E102)</f>
        <v>10.10.1.0/24</v>
      </c>
    </row>
    <row r="4" spans="1:6" x14ac:dyDescent="0.2">
      <c r="A4" s="61" t="s">
        <v>829</v>
      </c>
      <c r="B4" s="78" t="str">
        <f t="array" ref="B4:B23">IpRangeToCIDR(B2,B3)</f>
        <v>10.0.1.0/24</v>
      </c>
      <c r="D4" s="75" t="s">
        <v>964</v>
      </c>
      <c r="E4" s="74" t="s">
        <v>854</v>
      </c>
      <c r="F4" s="79" t="str">
        <v>10.10.2.0/23</v>
      </c>
    </row>
    <row r="5" spans="1:6" x14ac:dyDescent="0.2">
      <c r="B5" s="79" t="str">
        <v>10.0.2.0/23</v>
      </c>
      <c r="D5" s="75"/>
      <c r="E5" s="74" t="s">
        <v>842</v>
      </c>
      <c r="F5" s="79" t="str">
        <v>192.168.0.0/25</v>
      </c>
    </row>
    <row r="6" spans="1:6" x14ac:dyDescent="0.2">
      <c r="B6" s="79" t="str">
        <v>10.0.4.0/22</v>
      </c>
      <c r="D6" s="75"/>
      <c r="E6" s="75"/>
      <c r="F6" s="79" t="str">
        <v>192.168.2.0/23</v>
      </c>
    </row>
    <row r="7" spans="1:6" x14ac:dyDescent="0.2">
      <c r="B7" s="79" t="str">
        <v>10.0.8.0/24</v>
      </c>
      <c r="D7" s="75"/>
      <c r="E7" s="75"/>
      <c r="F7" s="79">
        <v>0</v>
      </c>
    </row>
    <row r="8" spans="1:6" x14ac:dyDescent="0.2">
      <c r="B8" s="79">
        <v>0</v>
      </c>
      <c r="D8" s="75"/>
      <c r="E8" s="75"/>
      <c r="F8" s="79" t="e">
        <v>#N/A</v>
      </c>
    </row>
    <row r="9" spans="1:6" x14ac:dyDescent="0.2">
      <c r="B9" s="79" t="e">
        <v>#N/A</v>
      </c>
      <c r="D9" s="75"/>
      <c r="E9" s="74"/>
      <c r="F9" s="79" t="e">
        <v>#N/A</v>
      </c>
    </row>
    <row r="10" spans="1:6" x14ac:dyDescent="0.2">
      <c r="B10" s="79" t="e">
        <v>#N/A</v>
      </c>
      <c r="D10" s="75"/>
      <c r="E10" s="75"/>
      <c r="F10" s="79" t="e">
        <v>#N/A</v>
      </c>
    </row>
    <row r="11" spans="1:6" x14ac:dyDescent="0.2">
      <c r="B11" s="79" t="e">
        <v>#N/A</v>
      </c>
      <c r="D11" s="75"/>
      <c r="E11" s="75"/>
      <c r="F11" s="79" t="e">
        <v>#N/A</v>
      </c>
    </row>
    <row r="12" spans="1:6" x14ac:dyDescent="0.2">
      <c r="B12" s="79" t="e">
        <v>#N/A</v>
      </c>
      <c r="D12" s="75"/>
      <c r="E12" s="75"/>
      <c r="F12" s="79" t="e">
        <v>#N/A</v>
      </c>
    </row>
    <row r="13" spans="1:6" x14ac:dyDescent="0.2">
      <c r="B13" s="79" t="e">
        <v>#N/A</v>
      </c>
      <c r="D13" s="75"/>
      <c r="E13" s="75"/>
      <c r="F13" s="79" t="e">
        <v>#N/A</v>
      </c>
    </row>
    <row r="14" spans="1:6" x14ac:dyDescent="0.2">
      <c r="B14" s="79" t="e">
        <v>#N/A</v>
      </c>
      <c r="D14" s="75"/>
      <c r="E14" s="75"/>
      <c r="F14" s="79" t="e">
        <v>#N/A</v>
      </c>
    </row>
    <row r="15" spans="1:6" x14ac:dyDescent="0.2">
      <c r="B15" s="79" t="e">
        <v>#N/A</v>
      </c>
      <c r="D15" s="75"/>
      <c r="E15" s="75"/>
      <c r="F15" s="79" t="e">
        <v>#N/A</v>
      </c>
    </row>
    <row r="16" spans="1:6" x14ac:dyDescent="0.2">
      <c r="B16" s="79" t="e">
        <v>#N/A</v>
      </c>
      <c r="D16" s="75"/>
      <c r="E16" s="75"/>
      <c r="F16" s="79" t="e">
        <v>#N/A</v>
      </c>
    </row>
    <row r="17" spans="2:6" x14ac:dyDescent="0.2">
      <c r="B17" s="79" t="e">
        <v>#N/A</v>
      </c>
      <c r="D17" s="75"/>
      <c r="E17" s="75"/>
      <c r="F17" s="79" t="e">
        <v>#N/A</v>
      </c>
    </row>
    <row r="18" spans="2:6" x14ac:dyDescent="0.2">
      <c r="B18" s="79" t="e">
        <v>#N/A</v>
      </c>
      <c r="D18" s="75"/>
      <c r="E18" s="75"/>
      <c r="F18" s="79" t="e">
        <v>#N/A</v>
      </c>
    </row>
    <row r="19" spans="2:6" x14ac:dyDescent="0.2">
      <c r="B19" s="79" t="e">
        <v>#N/A</v>
      </c>
      <c r="D19" s="75"/>
      <c r="E19" s="75"/>
      <c r="F19" s="79" t="e">
        <v>#N/A</v>
      </c>
    </row>
    <row r="20" spans="2:6" x14ac:dyDescent="0.2">
      <c r="B20" s="79" t="e">
        <v>#N/A</v>
      </c>
      <c r="D20" s="75"/>
      <c r="E20" s="75"/>
      <c r="F20" s="79" t="e">
        <v>#N/A</v>
      </c>
    </row>
    <row r="21" spans="2:6" x14ac:dyDescent="0.2">
      <c r="B21" s="79" t="e">
        <v>#N/A</v>
      </c>
      <c r="D21" s="75"/>
      <c r="E21" s="75"/>
      <c r="F21" s="79" t="e">
        <v>#N/A</v>
      </c>
    </row>
    <row r="22" spans="2:6" x14ac:dyDescent="0.2">
      <c r="B22" s="79" t="e">
        <v>#N/A</v>
      </c>
      <c r="D22" s="75"/>
      <c r="E22" s="75"/>
      <c r="F22" s="79" t="e">
        <v>#N/A</v>
      </c>
    </row>
    <row r="23" spans="2:6" x14ac:dyDescent="0.2">
      <c r="B23" s="80" t="e">
        <v>#N/A</v>
      </c>
      <c r="D23" s="75"/>
      <c r="E23" s="75"/>
      <c r="F23" s="79" t="e">
        <v>#N/A</v>
      </c>
    </row>
    <row r="24" spans="2:6" x14ac:dyDescent="0.2">
      <c r="D24" s="75"/>
      <c r="E24" s="75"/>
      <c r="F24" s="79" t="e">
        <v>#N/A</v>
      </c>
    </row>
    <row r="25" spans="2:6" x14ac:dyDescent="0.2">
      <c r="D25" s="75"/>
      <c r="E25" s="75"/>
      <c r="F25" s="79" t="e">
        <v>#N/A</v>
      </c>
    </row>
    <row r="26" spans="2:6" x14ac:dyDescent="0.2">
      <c r="D26" s="75"/>
      <c r="E26" s="75"/>
      <c r="F26" s="79" t="e">
        <v>#N/A</v>
      </c>
    </row>
    <row r="27" spans="2:6" x14ac:dyDescent="0.2">
      <c r="D27" s="75"/>
      <c r="E27" s="75"/>
      <c r="F27" s="79" t="e">
        <v>#N/A</v>
      </c>
    </row>
    <row r="28" spans="2:6" x14ac:dyDescent="0.2">
      <c r="D28" s="75"/>
      <c r="E28" s="75"/>
      <c r="F28" s="79" t="e">
        <v>#N/A</v>
      </c>
    </row>
    <row r="29" spans="2:6" x14ac:dyDescent="0.2">
      <c r="D29" s="75"/>
      <c r="E29" s="75"/>
      <c r="F29" s="79" t="e">
        <v>#N/A</v>
      </c>
    </row>
    <row r="30" spans="2:6" x14ac:dyDescent="0.2">
      <c r="D30" s="75"/>
      <c r="E30" s="75"/>
      <c r="F30" s="79" t="e">
        <v>#N/A</v>
      </c>
    </row>
    <row r="31" spans="2:6" x14ac:dyDescent="0.2">
      <c r="D31" s="75"/>
      <c r="E31" s="75"/>
      <c r="F31" s="79" t="e">
        <v>#N/A</v>
      </c>
    </row>
    <row r="32" spans="2:6" x14ac:dyDescent="0.2">
      <c r="D32" s="75"/>
      <c r="E32" s="75"/>
      <c r="F32" s="79" t="e">
        <v>#N/A</v>
      </c>
    </row>
    <row r="33" spans="4:6" x14ac:dyDescent="0.2">
      <c r="D33" s="75"/>
      <c r="E33" s="75"/>
      <c r="F33" s="79" t="e">
        <v>#N/A</v>
      </c>
    </row>
    <row r="34" spans="4:6" x14ac:dyDescent="0.2">
      <c r="D34" s="75"/>
      <c r="E34" s="75"/>
      <c r="F34" s="79" t="e">
        <v>#N/A</v>
      </c>
    </row>
    <row r="35" spans="4:6" x14ac:dyDescent="0.2">
      <c r="D35" s="75"/>
      <c r="E35" s="75"/>
      <c r="F35" s="79" t="e">
        <v>#N/A</v>
      </c>
    </row>
    <row r="36" spans="4:6" x14ac:dyDescent="0.2">
      <c r="D36" s="75"/>
      <c r="E36" s="75"/>
      <c r="F36" s="79" t="e">
        <v>#N/A</v>
      </c>
    </row>
    <row r="37" spans="4:6" x14ac:dyDescent="0.2">
      <c r="D37" s="75"/>
      <c r="E37" s="75"/>
      <c r="F37" s="79" t="e">
        <v>#N/A</v>
      </c>
    </row>
    <row r="38" spans="4:6" x14ac:dyDescent="0.2">
      <c r="D38" s="75"/>
      <c r="E38" s="75"/>
      <c r="F38" s="79" t="e">
        <v>#N/A</v>
      </c>
    </row>
    <row r="39" spans="4:6" x14ac:dyDescent="0.2">
      <c r="D39" s="75"/>
      <c r="E39" s="75"/>
      <c r="F39" s="79" t="e">
        <v>#N/A</v>
      </c>
    </row>
    <row r="40" spans="4:6" x14ac:dyDescent="0.2">
      <c r="D40" s="75"/>
      <c r="E40" s="75"/>
      <c r="F40" s="79" t="e">
        <v>#N/A</v>
      </c>
    </row>
    <row r="41" spans="4:6" x14ac:dyDescent="0.2">
      <c r="D41" s="75"/>
      <c r="E41" s="75"/>
      <c r="F41" s="79" t="e">
        <v>#N/A</v>
      </c>
    </row>
    <row r="42" spans="4:6" x14ac:dyDescent="0.2">
      <c r="D42" s="75"/>
      <c r="E42" s="75"/>
      <c r="F42" s="79" t="e">
        <v>#N/A</v>
      </c>
    </row>
    <row r="43" spans="4:6" x14ac:dyDescent="0.2">
      <c r="D43" s="75"/>
      <c r="E43" s="75"/>
      <c r="F43" s="79" t="e">
        <v>#N/A</v>
      </c>
    </row>
    <row r="44" spans="4:6" x14ac:dyDescent="0.2">
      <c r="D44" s="75"/>
      <c r="E44" s="75"/>
      <c r="F44" s="79" t="e">
        <v>#N/A</v>
      </c>
    </row>
    <row r="45" spans="4:6" x14ac:dyDescent="0.2">
      <c r="D45" s="75"/>
      <c r="E45" s="75"/>
      <c r="F45" s="79" t="e">
        <v>#N/A</v>
      </c>
    </row>
    <row r="46" spans="4:6" x14ac:dyDescent="0.2">
      <c r="D46" s="75"/>
      <c r="E46" s="75"/>
      <c r="F46" s="79" t="e">
        <v>#N/A</v>
      </c>
    </row>
    <row r="47" spans="4:6" x14ac:dyDescent="0.2">
      <c r="D47" s="75"/>
      <c r="E47" s="75"/>
      <c r="F47" s="79" t="e">
        <v>#N/A</v>
      </c>
    </row>
    <row r="48" spans="4:6" x14ac:dyDescent="0.2">
      <c r="D48" s="75"/>
      <c r="E48" s="75"/>
      <c r="F48" s="79" t="e">
        <v>#N/A</v>
      </c>
    </row>
    <row r="49" spans="4:6" x14ac:dyDescent="0.2">
      <c r="D49" s="75"/>
      <c r="E49" s="75"/>
      <c r="F49" s="79" t="e">
        <v>#N/A</v>
      </c>
    </row>
    <row r="50" spans="4:6" x14ac:dyDescent="0.2">
      <c r="D50" s="75"/>
      <c r="E50" s="75"/>
      <c r="F50" s="79" t="e">
        <v>#N/A</v>
      </c>
    </row>
    <row r="51" spans="4:6" x14ac:dyDescent="0.2">
      <c r="D51" s="75"/>
      <c r="E51" s="75"/>
      <c r="F51" s="79" t="e">
        <v>#N/A</v>
      </c>
    </row>
    <row r="52" spans="4:6" x14ac:dyDescent="0.2">
      <c r="D52" s="75"/>
      <c r="E52" s="75"/>
      <c r="F52" s="79" t="e">
        <v>#N/A</v>
      </c>
    </row>
    <row r="53" spans="4:6" x14ac:dyDescent="0.2">
      <c r="D53" s="75"/>
      <c r="E53" s="75"/>
      <c r="F53" s="79" t="e">
        <v>#N/A</v>
      </c>
    </row>
    <row r="54" spans="4:6" x14ac:dyDescent="0.2">
      <c r="D54" s="75"/>
      <c r="E54" s="75"/>
      <c r="F54" s="79" t="e">
        <v>#N/A</v>
      </c>
    </row>
    <row r="55" spans="4:6" x14ac:dyDescent="0.2">
      <c r="D55" s="75"/>
      <c r="E55" s="75"/>
      <c r="F55" s="79" t="e">
        <v>#N/A</v>
      </c>
    </row>
    <row r="56" spans="4:6" x14ac:dyDescent="0.2">
      <c r="D56" s="75"/>
      <c r="E56" s="75"/>
      <c r="F56" s="79" t="e">
        <v>#N/A</v>
      </c>
    </row>
    <row r="57" spans="4:6" x14ac:dyDescent="0.2">
      <c r="D57" s="75"/>
      <c r="E57" s="75"/>
      <c r="F57" s="79" t="e">
        <v>#N/A</v>
      </c>
    </row>
    <row r="58" spans="4:6" x14ac:dyDescent="0.2">
      <c r="D58" s="75"/>
      <c r="E58" s="75"/>
      <c r="F58" s="79" t="e">
        <v>#N/A</v>
      </c>
    </row>
    <row r="59" spans="4:6" x14ac:dyDescent="0.2">
      <c r="D59" s="75"/>
      <c r="E59" s="75"/>
      <c r="F59" s="79" t="e">
        <v>#N/A</v>
      </c>
    </row>
    <row r="60" spans="4:6" x14ac:dyDescent="0.2">
      <c r="D60" s="75"/>
      <c r="E60" s="75"/>
      <c r="F60" s="79" t="e">
        <v>#N/A</v>
      </c>
    </row>
    <row r="61" spans="4:6" x14ac:dyDescent="0.2">
      <c r="D61" s="75"/>
      <c r="E61" s="75"/>
      <c r="F61" s="79" t="e">
        <v>#N/A</v>
      </c>
    </row>
    <row r="62" spans="4:6" x14ac:dyDescent="0.2">
      <c r="D62" s="75"/>
      <c r="E62" s="75"/>
      <c r="F62" s="79" t="e">
        <v>#N/A</v>
      </c>
    </row>
    <row r="63" spans="4:6" x14ac:dyDescent="0.2">
      <c r="D63" s="75"/>
      <c r="E63" s="75"/>
      <c r="F63" s="79" t="e">
        <v>#N/A</v>
      </c>
    </row>
    <row r="64" spans="4:6" x14ac:dyDescent="0.2">
      <c r="D64" s="75"/>
      <c r="E64" s="75"/>
      <c r="F64" s="79" t="e">
        <v>#N/A</v>
      </c>
    </row>
    <row r="65" spans="4:6" x14ac:dyDescent="0.2">
      <c r="D65" s="75"/>
      <c r="E65" s="75"/>
      <c r="F65" s="79" t="e">
        <v>#N/A</v>
      </c>
    </row>
    <row r="66" spans="4:6" x14ac:dyDescent="0.2">
      <c r="D66" s="75"/>
      <c r="E66" s="75"/>
      <c r="F66" s="79" t="e">
        <v>#N/A</v>
      </c>
    </row>
    <row r="67" spans="4:6" x14ac:dyDescent="0.2">
      <c r="D67" s="75"/>
      <c r="E67" s="75"/>
      <c r="F67" s="79" t="e">
        <v>#N/A</v>
      </c>
    </row>
    <row r="68" spans="4:6" x14ac:dyDescent="0.2">
      <c r="D68" s="75"/>
      <c r="E68" s="75"/>
      <c r="F68" s="79" t="e">
        <v>#N/A</v>
      </c>
    </row>
    <row r="69" spans="4:6" x14ac:dyDescent="0.2">
      <c r="D69" s="75"/>
      <c r="E69" s="75"/>
      <c r="F69" s="79" t="e">
        <v>#N/A</v>
      </c>
    </row>
    <row r="70" spans="4:6" x14ac:dyDescent="0.2">
      <c r="D70" s="75"/>
      <c r="E70" s="75"/>
      <c r="F70" s="79" t="e">
        <v>#N/A</v>
      </c>
    </row>
    <row r="71" spans="4:6" x14ac:dyDescent="0.2">
      <c r="D71" s="75"/>
      <c r="E71" s="75"/>
      <c r="F71" s="79" t="e">
        <v>#N/A</v>
      </c>
    </row>
    <row r="72" spans="4:6" x14ac:dyDescent="0.2">
      <c r="D72" s="75"/>
      <c r="E72" s="75"/>
      <c r="F72" s="79" t="e">
        <v>#N/A</v>
      </c>
    </row>
    <row r="73" spans="4:6" x14ac:dyDescent="0.2">
      <c r="D73" s="75"/>
      <c r="E73" s="75"/>
      <c r="F73" s="79" t="e">
        <v>#N/A</v>
      </c>
    </row>
    <row r="74" spans="4:6" x14ac:dyDescent="0.2">
      <c r="D74" s="75"/>
      <c r="E74" s="75"/>
      <c r="F74" s="79" t="e">
        <v>#N/A</v>
      </c>
    </row>
    <row r="75" spans="4:6" x14ac:dyDescent="0.2">
      <c r="D75" s="75"/>
      <c r="E75" s="75"/>
      <c r="F75" s="79" t="e">
        <v>#N/A</v>
      </c>
    </row>
    <row r="76" spans="4:6" x14ac:dyDescent="0.2">
      <c r="D76" s="75"/>
      <c r="E76" s="75"/>
      <c r="F76" s="79" t="e">
        <v>#N/A</v>
      </c>
    </row>
    <row r="77" spans="4:6" x14ac:dyDescent="0.2">
      <c r="D77" s="75"/>
      <c r="E77" s="75"/>
      <c r="F77" s="79" t="e">
        <v>#N/A</v>
      </c>
    </row>
    <row r="78" spans="4:6" x14ac:dyDescent="0.2">
      <c r="D78" s="75"/>
      <c r="E78" s="75"/>
      <c r="F78" s="79" t="e">
        <v>#N/A</v>
      </c>
    </row>
    <row r="79" spans="4:6" x14ac:dyDescent="0.2">
      <c r="D79" s="75"/>
      <c r="E79" s="75"/>
      <c r="F79" s="79" t="e">
        <v>#N/A</v>
      </c>
    </row>
    <row r="80" spans="4:6" x14ac:dyDescent="0.2">
      <c r="D80" s="75"/>
      <c r="E80" s="75"/>
      <c r="F80" s="79" t="e">
        <v>#N/A</v>
      </c>
    </row>
    <row r="81" spans="4:6" x14ac:dyDescent="0.2">
      <c r="D81" s="75"/>
      <c r="E81" s="75"/>
      <c r="F81" s="79" t="e">
        <v>#N/A</v>
      </c>
    </row>
    <row r="82" spans="4:6" x14ac:dyDescent="0.2">
      <c r="D82" s="75"/>
      <c r="E82" s="75"/>
      <c r="F82" s="79" t="e">
        <v>#N/A</v>
      </c>
    </row>
    <row r="83" spans="4:6" x14ac:dyDescent="0.2">
      <c r="D83" s="75"/>
      <c r="E83" s="75"/>
      <c r="F83" s="79" t="e">
        <v>#N/A</v>
      </c>
    </row>
    <row r="84" spans="4:6" x14ac:dyDescent="0.2">
      <c r="D84" s="75"/>
      <c r="E84" s="75"/>
      <c r="F84" s="79" t="e">
        <v>#N/A</v>
      </c>
    </row>
    <row r="85" spans="4:6" x14ac:dyDescent="0.2">
      <c r="D85" s="75"/>
      <c r="E85" s="75"/>
      <c r="F85" s="79" t="e">
        <v>#N/A</v>
      </c>
    </row>
    <row r="86" spans="4:6" x14ac:dyDescent="0.2">
      <c r="D86" s="75"/>
      <c r="E86" s="75"/>
      <c r="F86" s="79" t="e">
        <v>#N/A</v>
      </c>
    </row>
    <row r="87" spans="4:6" x14ac:dyDescent="0.2">
      <c r="D87" s="75"/>
      <c r="E87" s="75"/>
      <c r="F87" s="79" t="e">
        <v>#N/A</v>
      </c>
    </row>
    <row r="88" spans="4:6" x14ac:dyDescent="0.2">
      <c r="D88" s="75"/>
      <c r="E88" s="75"/>
      <c r="F88" s="79" t="e">
        <v>#N/A</v>
      </c>
    </row>
    <row r="89" spans="4:6" x14ac:dyDescent="0.2">
      <c r="D89" s="75"/>
      <c r="E89" s="75"/>
      <c r="F89" s="79" t="e">
        <v>#N/A</v>
      </c>
    </row>
    <row r="90" spans="4:6" x14ac:dyDescent="0.2">
      <c r="D90" s="75"/>
      <c r="E90" s="75"/>
      <c r="F90" s="79" t="e">
        <v>#N/A</v>
      </c>
    </row>
    <row r="91" spans="4:6" x14ac:dyDescent="0.2">
      <c r="D91" s="75"/>
      <c r="E91" s="75"/>
      <c r="F91" s="79" t="e">
        <v>#N/A</v>
      </c>
    </row>
    <row r="92" spans="4:6" x14ac:dyDescent="0.2">
      <c r="D92" s="75"/>
      <c r="E92" s="75"/>
      <c r="F92" s="79" t="e">
        <v>#N/A</v>
      </c>
    </row>
    <row r="93" spans="4:6" x14ac:dyDescent="0.2">
      <c r="D93" s="75"/>
      <c r="E93" s="75"/>
      <c r="F93" s="79" t="e">
        <v>#N/A</v>
      </c>
    </row>
    <row r="94" spans="4:6" x14ac:dyDescent="0.2">
      <c r="D94" s="75"/>
      <c r="E94" s="75"/>
      <c r="F94" s="79" t="e">
        <v>#N/A</v>
      </c>
    </row>
    <row r="95" spans="4:6" x14ac:dyDescent="0.2">
      <c r="D95" s="75"/>
      <c r="E95" s="75"/>
      <c r="F95" s="79" t="e">
        <v>#N/A</v>
      </c>
    </row>
    <row r="96" spans="4:6" x14ac:dyDescent="0.2">
      <c r="D96" s="75"/>
      <c r="E96" s="75"/>
      <c r="F96" s="79" t="e">
        <v>#N/A</v>
      </c>
    </row>
    <row r="97" spans="4:6" x14ac:dyDescent="0.2">
      <c r="D97" s="75"/>
      <c r="E97" s="75"/>
      <c r="F97" s="79" t="e">
        <v>#N/A</v>
      </c>
    </row>
    <row r="98" spans="4:6" x14ac:dyDescent="0.2">
      <c r="D98" s="75"/>
      <c r="E98" s="75"/>
      <c r="F98" s="79" t="e">
        <v>#N/A</v>
      </c>
    </row>
    <row r="99" spans="4:6" x14ac:dyDescent="0.2">
      <c r="D99" s="75"/>
      <c r="E99" s="75"/>
      <c r="F99" s="79" t="e">
        <v>#N/A</v>
      </c>
    </row>
    <row r="100" spans="4:6" x14ac:dyDescent="0.2">
      <c r="D100" s="75"/>
      <c r="E100" s="75"/>
      <c r="F100" s="79" t="e">
        <v>#N/A</v>
      </c>
    </row>
    <row r="101" spans="4:6" x14ac:dyDescent="0.2">
      <c r="D101" s="75"/>
      <c r="E101" s="75"/>
      <c r="F101" s="79" t="e">
        <v>#N/A</v>
      </c>
    </row>
    <row r="102" spans="4:6" x14ac:dyDescent="0.2">
      <c r="D102" s="76"/>
      <c r="E102" s="76"/>
      <c r="F102" s="80" t="e">
        <v>#N/A</v>
      </c>
    </row>
  </sheetData>
  <pageMargins left="0.7" right="0.7" top="0.75" bottom="0.75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56"/>
  <sheetViews>
    <sheetView showGridLines="0" workbookViewId="0">
      <selection activeCell="E12" sqref="E12"/>
    </sheetView>
  </sheetViews>
  <sheetFormatPr defaultColWidth="9.140625" defaultRowHeight="12.75" x14ac:dyDescent="0.2"/>
  <cols>
    <col min="1" max="1" width="33.140625" style="61" bestFit="1" customWidth="1"/>
    <col min="2" max="2" width="4.140625" style="61" customWidth="1"/>
    <col min="3" max="6" width="5.7109375" style="61" customWidth="1"/>
    <col min="7" max="7" width="3.5703125" style="61" customWidth="1"/>
    <col min="8" max="9" width="16.140625" style="88" customWidth="1"/>
    <col min="10" max="10" width="15.28515625" style="88" customWidth="1"/>
    <col min="11" max="11" width="17.5703125" style="88" customWidth="1"/>
    <col min="12" max="16384" width="9.140625" style="61"/>
  </cols>
  <sheetData>
    <row r="1" spans="1:11" x14ac:dyDescent="0.2">
      <c r="A1" s="70" t="s">
        <v>965</v>
      </c>
      <c r="C1" s="83" t="s">
        <v>966</v>
      </c>
      <c r="D1" s="83" t="s">
        <v>967</v>
      </c>
      <c r="E1" s="83" t="s">
        <v>968</v>
      </c>
      <c r="F1" s="83" t="s">
        <v>969</v>
      </c>
      <c r="H1" s="84" t="s">
        <v>970</v>
      </c>
      <c r="I1" s="84" t="s">
        <v>971</v>
      </c>
      <c r="J1" s="84" t="s">
        <v>972</v>
      </c>
      <c r="K1" s="84" t="s">
        <v>973</v>
      </c>
    </row>
    <row r="2" spans="1:11" x14ac:dyDescent="0.2">
      <c r="A2" s="70" t="s">
        <v>974</v>
      </c>
      <c r="C2" s="85" t="s">
        <v>975</v>
      </c>
      <c r="D2" s="85" t="s">
        <v>975</v>
      </c>
      <c r="E2" s="85" t="s">
        <v>975</v>
      </c>
      <c r="F2" s="85" t="s">
        <v>975</v>
      </c>
      <c r="H2" s="86" t="str">
        <f>ROWS($A$1:A1)&amp;"."&amp;$D$2&amp;"."&amp;$E$2&amp;"."&amp;$F$2</f>
        <v>1.*.*.*</v>
      </c>
      <c r="I2" s="86" t="str">
        <f>$C$2&amp;"."&amp;ROWS($A$1:A1)&amp;"."&amp;$E$2&amp;"."&amp;$F$2</f>
        <v>*.1.*.*</v>
      </c>
      <c r="J2" s="86" t="str">
        <f>$C$2&amp;"."&amp;$D$2&amp;"."&amp;ROWS($A$1:A1)&amp;"."&amp;$F$2</f>
        <v>*.*.1.*</v>
      </c>
      <c r="K2" s="86" t="str">
        <f>$C$2&amp;"."&amp;$D$2&amp;"."&amp;$E$2&amp;"."&amp;ROWS($A$1:A1)</f>
        <v>*.*.*.1</v>
      </c>
    </row>
    <row r="3" spans="1:11" x14ac:dyDescent="0.2">
      <c r="H3" s="86" t="str">
        <f>ROWS($A$1:A2)&amp;"."&amp;$D$2&amp;"."&amp;$E$2&amp;"."&amp;$F$2</f>
        <v>2.*.*.*</v>
      </c>
      <c r="I3" s="86" t="str">
        <f>$C$2&amp;"."&amp;ROWS($A$1:A2)&amp;"."&amp;$E$2&amp;"."&amp;$F$2</f>
        <v>*.2.*.*</v>
      </c>
      <c r="J3" s="86" t="str">
        <f>$C$2&amp;"."&amp;$D$2&amp;"."&amp;ROWS($A$1:A2)&amp;"."&amp;$F$2</f>
        <v>*.*.2.*</v>
      </c>
      <c r="K3" s="86" t="str">
        <f>$C$2&amp;"."&amp;$D$2&amp;"."&amp;$E$2&amp;"."&amp;ROWS($A$1:A2)</f>
        <v>*.*.*.2</v>
      </c>
    </row>
    <row r="4" spans="1:11" x14ac:dyDescent="0.2">
      <c r="A4" s="87" t="s">
        <v>970</v>
      </c>
      <c r="H4" s="86" t="str">
        <f>ROWS($A$1:A3)&amp;"."&amp;$D$2&amp;"."&amp;$E$2&amp;"."&amp;$F$2</f>
        <v>3.*.*.*</v>
      </c>
      <c r="I4" s="86" t="str">
        <f>$C$2&amp;"."&amp;ROWS($A$1:A3)&amp;"."&amp;$E$2&amp;"."&amp;$F$2</f>
        <v>*.3.*.*</v>
      </c>
      <c r="J4" s="86" t="str">
        <f>$C$2&amp;"."&amp;$D$2&amp;"."&amp;ROWS($A$1:A3)&amp;"."&amp;$F$2</f>
        <v>*.*.3.*</v>
      </c>
      <c r="K4" s="86" t="str">
        <f>$C$2&amp;"."&amp;$D$2&amp;"."&amp;$E$2&amp;"."&amp;ROWS($A$1:A3)</f>
        <v>*.*.*.3</v>
      </c>
    </row>
    <row r="5" spans="1:11" x14ac:dyDescent="0.2">
      <c r="A5" s="87" t="s">
        <v>976</v>
      </c>
      <c r="H5" s="86" t="str">
        <f>ROWS($A$1:A4)&amp;"."&amp;$D$2&amp;"."&amp;$E$2&amp;"."&amp;$F$2</f>
        <v>4.*.*.*</v>
      </c>
      <c r="I5" s="86" t="str">
        <f>$C$2&amp;"."&amp;ROWS($A$1:A4)&amp;"."&amp;$E$2&amp;"."&amp;$F$2</f>
        <v>*.4.*.*</v>
      </c>
      <c r="J5" s="86" t="str">
        <f>$C$2&amp;"."&amp;$D$2&amp;"."&amp;ROWS($A$1:A4)&amp;"."&amp;$F$2</f>
        <v>*.*.4.*</v>
      </c>
      <c r="K5" s="86" t="str">
        <f>$C$2&amp;"."&amp;$D$2&amp;"."&amp;$E$2&amp;"."&amp;ROWS($A$1:A4)</f>
        <v>*.*.*.4</v>
      </c>
    </row>
    <row r="6" spans="1:11" x14ac:dyDescent="0.2">
      <c r="A6" s="87" t="s">
        <v>971</v>
      </c>
      <c r="H6" s="86" t="str">
        <f>ROWS($A$1:A5)&amp;"."&amp;$D$2&amp;"."&amp;$E$2&amp;"."&amp;$F$2</f>
        <v>5.*.*.*</v>
      </c>
      <c r="I6" s="86" t="str">
        <f>$C$2&amp;"."&amp;ROWS($A$1:A5)&amp;"."&amp;$E$2&amp;"."&amp;$F$2</f>
        <v>*.5.*.*</v>
      </c>
      <c r="J6" s="86" t="str">
        <f>$C$2&amp;"."&amp;$D$2&amp;"."&amp;ROWS($A$1:A5)&amp;"."&amp;$F$2</f>
        <v>*.*.5.*</v>
      </c>
      <c r="K6" s="86" t="str">
        <f>$C$2&amp;"."&amp;$D$2&amp;"."&amp;$E$2&amp;"."&amp;ROWS($A$1:A5)</f>
        <v>*.*.*.5</v>
      </c>
    </row>
    <row r="7" spans="1:11" x14ac:dyDescent="0.2">
      <c r="A7" s="87" t="s">
        <v>977</v>
      </c>
      <c r="H7" s="86" t="str">
        <f>ROWS($A$1:A6)&amp;"."&amp;$D$2&amp;"."&amp;$E$2&amp;"."&amp;$F$2</f>
        <v>6.*.*.*</v>
      </c>
      <c r="I7" s="86" t="str">
        <f>$C$2&amp;"."&amp;ROWS($A$1:A6)&amp;"."&amp;$E$2&amp;"."&amp;$F$2</f>
        <v>*.6.*.*</v>
      </c>
      <c r="J7" s="86" t="str">
        <f>$C$2&amp;"."&amp;$D$2&amp;"."&amp;ROWS($A$1:A6)&amp;"."&amp;$F$2</f>
        <v>*.*.6.*</v>
      </c>
      <c r="K7" s="86" t="str">
        <f>$C$2&amp;"."&amp;$D$2&amp;"."&amp;$E$2&amp;"."&amp;ROWS($A$1:A6)</f>
        <v>*.*.*.6</v>
      </c>
    </row>
    <row r="8" spans="1:11" x14ac:dyDescent="0.2">
      <c r="A8" s="87" t="s">
        <v>972</v>
      </c>
      <c r="H8" s="86" t="str">
        <f>ROWS($A$1:A7)&amp;"."&amp;$D$2&amp;"."&amp;$E$2&amp;"."&amp;$F$2</f>
        <v>7.*.*.*</v>
      </c>
      <c r="I8" s="86" t="str">
        <f>$C$2&amp;"."&amp;ROWS($A$1:A7)&amp;"."&amp;$E$2&amp;"."&amp;$F$2</f>
        <v>*.7.*.*</v>
      </c>
      <c r="J8" s="86" t="str">
        <f>$C$2&amp;"."&amp;$D$2&amp;"."&amp;ROWS($A$1:A7)&amp;"."&amp;$F$2</f>
        <v>*.*.7.*</v>
      </c>
      <c r="K8" s="86" t="str">
        <f>$C$2&amp;"."&amp;$D$2&amp;"."&amp;$E$2&amp;"."&amp;ROWS($A$1:A7)</f>
        <v>*.*.*.7</v>
      </c>
    </row>
    <row r="9" spans="1:11" x14ac:dyDescent="0.2">
      <c r="A9" s="87" t="s">
        <v>978</v>
      </c>
      <c r="H9" s="86" t="str">
        <f>ROWS($A$1:A8)&amp;"."&amp;$D$2&amp;"."&amp;$E$2&amp;"."&amp;$F$2</f>
        <v>8.*.*.*</v>
      </c>
      <c r="I9" s="86" t="str">
        <f>$C$2&amp;"."&amp;ROWS($A$1:A8)&amp;"."&amp;$E$2&amp;"."&amp;$F$2</f>
        <v>*.8.*.*</v>
      </c>
      <c r="J9" s="86" t="str">
        <f>$C$2&amp;"."&amp;$D$2&amp;"."&amp;ROWS($A$1:A8)&amp;"."&amp;$F$2</f>
        <v>*.*.8.*</v>
      </c>
      <c r="K9" s="86" t="str">
        <f>$C$2&amp;"."&amp;$D$2&amp;"."&amp;$E$2&amp;"."&amp;ROWS($A$1:A8)</f>
        <v>*.*.*.8</v>
      </c>
    </row>
    <row r="10" spans="1:11" x14ac:dyDescent="0.2">
      <c r="A10" s="87" t="s">
        <v>973</v>
      </c>
      <c r="H10" s="86" t="str">
        <f>ROWS($A$1:A9)&amp;"."&amp;$D$2&amp;"."&amp;$E$2&amp;"."&amp;$F$2</f>
        <v>9.*.*.*</v>
      </c>
      <c r="I10" s="86" t="str">
        <f>$C$2&amp;"."&amp;ROWS($A$1:A9)&amp;"."&amp;$E$2&amp;"."&amp;$F$2</f>
        <v>*.9.*.*</v>
      </c>
      <c r="J10" s="86" t="str">
        <f>$C$2&amp;"."&amp;$D$2&amp;"."&amp;ROWS($A$1:A9)&amp;"."&amp;$F$2</f>
        <v>*.*.9.*</v>
      </c>
      <c r="K10" s="86" t="str">
        <f>$C$2&amp;"."&amp;$D$2&amp;"."&amp;$E$2&amp;"."&amp;ROWS($A$1:A9)</f>
        <v>*.*.*.9</v>
      </c>
    </row>
    <row r="11" spans="1:11" x14ac:dyDescent="0.2">
      <c r="A11" s="87" t="s">
        <v>979</v>
      </c>
      <c r="H11" s="86" t="str">
        <f>ROWS($A$1:A10)&amp;"."&amp;$D$2&amp;"."&amp;$E$2&amp;"."&amp;$F$2</f>
        <v>10.*.*.*</v>
      </c>
      <c r="I11" s="86" t="str">
        <f>$C$2&amp;"."&amp;ROWS($A$1:A10)&amp;"."&amp;$E$2&amp;"."&amp;$F$2</f>
        <v>*.10.*.*</v>
      </c>
      <c r="J11" s="86" t="str">
        <f>$C$2&amp;"."&amp;$D$2&amp;"."&amp;ROWS($A$1:A10)&amp;"."&amp;$F$2</f>
        <v>*.*.10.*</v>
      </c>
      <c r="K11" s="86" t="str">
        <f>$C$2&amp;"."&amp;$D$2&amp;"."&amp;$E$2&amp;"."&amp;ROWS($A$1:A10)</f>
        <v>*.*.*.10</v>
      </c>
    </row>
    <row r="12" spans="1:11" x14ac:dyDescent="0.2">
      <c r="H12" s="86" t="str">
        <f>ROWS($A$1:A11)&amp;"."&amp;$D$2&amp;"."&amp;$E$2&amp;"."&amp;$F$2</f>
        <v>11.*.*.*</v>
      </c>
      <c r="I12" s="86" t="str">
        <f>$C$2&amp;"."&amp;ROWS($A$1:A11)&amp;"."&amp;$E$2&amp;"."&amp;$F$2</f>
        <v>*.11.*.*</v>
      </c>
      <c r="J12" s="86" t="str">
        <f>$C$2&amp;"."&amp;$D$2&amp;"."&amp;ROWS($A$1:A11)&amp;"."&amp;$F$2</f>
        <v>*.*.11.*</v>
      </c>
      <c r="K12" s="86" t="str">
        <f>$C$2&amp;"."&amp;$D$2&amp;"."&amp;$E$2&amp;"."&amp;ROWS($A$1:A11)</f>
        <v>*.*.*.11</v>
      </c>
    </row>
    <row r="13" spans="1:11" x14ac:dyDescent="0.2">
      <c r="H13" s="86" t="str">
        <f>ROWS($A$1:A12)&amp;"."&amp;$D$2&amp;"."&amp;$E$2&amp;"."&amp;$F$2</f>
        <v>12.*.*.*</v>
      </c>
      <c r="I13" s="86" t="str">
        <f>$C$2&amp;"."&amp;ROWS($A$1:A12)&amp;"."&amp;$E$2&amp;"."&amp;$F$2</f>
        <v>*.12.*.*</v>
      </c>
      <c r="J13" s="86" t="str">
        <f>$C$2&amp;"."&amp;$D$2&amp;"."&amp;ROWS($A$1:A12)&amp;"."&amp;$F$2</f>
        <v>*.*.12.*</v>
      </c>
      <c r="K13" s="86" t="str">
        <f>$C$2&amp;"."&amp;$D$2&amp;"."&amp;$E$2&amp;"."&amp;ROWS($A$1:A12)</f>
        <v>*.*.*.12</v>
      </c>
    </row>
    <row r="14" spans="1:11" x14ac:dyDescent="0.2">
      <c r="H14" s="86" t="str">
        <f>ROWS($A$1:A13)&amp;"."&amp;$D$2&amp;"."&amp;$E$2&amp;"."&amp;$F$2</f>
        <v>13.*.*.*</v>
      </c>
      <c r="I14" s="86" t="str">
        <f>$C$2&amp;"."&amp;ROWS($A$1:A13)&amp;"."&amp;$E$2&amp;"."&amp;$F$2</f>
        <v>*.13.*.*</v>
      </c>
      <c r="J14" s="86" t="str">
        <f>$C$2&amp;"."&amp;$D$2&amp;"."&amp;ROWS($A$1:A13)&amp;"."&amp;$F$2</f>
        <v>*.*.13.*</v>
      </c>
      <c r="K14" s="86" t="str">
        <f>$C$2&amp;"."&amp;$D$2&amp;"."&amp;$E$2&amp;"."&amp;ROWS($A$1:A13)</f>
        <v>*.*.*.13</v>
      </c>
    </row>
    <row r="15" spans="1:11" x14ac:dyDescent="0.2">
      <c r="H15" s="86" t="str">
        <f>ROWS($A$1:A14)&amp;"."&amp;$D$2&amp;"."&amp;$E$2&amp;"."&amp;$F$2</f>
        <v>14.*.*.*</v>
      </c>
      <c r="I15" s="86" t="str">
        <f>$C$2&amp;"."&amp;ROWS($A$1:A14)&amp;"."&amp;$E$2&amp;"."&amp;$F$2</f>
        <v>*.14.*.*</v>
      </c>
      <c r="J15" s="86" t="str">
        <f>$C$2&amp;"."&amp;$D$2&amp;"."&amp;ROWS($A$1:A14)&amp;"."&amp;$F$2</f>
        <v>*.*.14.*</v>
      </c>
      <c r="K15" s="86" t="str">
        <f>$C$2&amp;"."&amp;$D$2&amp;"."&amp;$E$2&amp;"."&amp;ROWS($A$1:A14)</f>
        <v>*.*.*.14</v>
      </c>
    </row>
    <row r="16" spans="1:11" x14ac:dyDescent="0.2">
      <c r="H16" s="86" t="str">
        <f>ROWS($A$1:A15)&amp;"."&amp;$D$2&amp;"."&amp;$E$2&amp;"."&amp;$F$2</f>
        <v>15.*.*.*</v>
      </c>
      <c r="I16" s="86" t="str">
        <f>$C$2&amp;"."&amp;ROWS($A$1:A15)&amp;"."&amp;$E$2&amp;"."&amp;$F$2</f>
        <v>*.15.*.*</v>
      </c>
      <c r="J16" s="86" t="str">
        <f>$C$2&amp;"."&amp;$D$2&amp;"."&amp;ROWS($A$1:A15)&amp;"."&amp;$F$2</f>
        <v>*.*.15.*</v>
      </c>
      <c r="K16" s="86" t="str">
        <f>$C$2&amp;"."&amp;$D$2&amp;"."&amp;$E$2&amp;"."&amp;ROWS($A$1:A15)</f>
        <v>*.*.*.15</v>
      </c>
    </row>
    <row r="17" spans="8:11" x14ac:dyDescent="0.2">
      <c r="H17" s="86" t="str">
        <f>ROWS($A$1:A16)&amp;"."&amp;$D$2&amp;"."&amp;$E$2&amp;"."&amp;$F$2</f>
        <v>16.*.*.*</v>
      </c>
      <c r="I17" s="86" t="str">
        <f>$C$2&amp;"."&amp;ROWS($A$1:A16)&amp;"."&amp;$E$2&amp;"."&amp;$F$2</f>
        <v>*.16.*.*</v>
      </c>
      <c r="J17" s="86" t="str">
        <f>$C$2&amp;"."&amp;$D$2&amp;"."&amp;ROWS($A$1:A16)&amp;"."&amp;$F$2</f>
        <v>*.*.16.*</v>
      </c>
      <c r="K17" s="86" t="str">
        <f>$C$2&amp;"."&amp;$D$2&amp;"."&amp;$E$2&amp;"."&amp;ROWS($A$1:A16)</f>
        <v>*.*.*.16</v>
      </c>
    </row>
    <row r="18" spans="8:11" x14ac:dyDescent="0.2">
      <c r="H18" s="86" t="str">
        <f>ROWS($A$1:A17)&amp;"."&amp;$D$2&amp;"."&amp;$E$2&amp;"."&amp;$F$2</f>
        <v>17.*.*.*</v>
      </c>
      <c r="I18" s="86" t="str">
        <f>$C$2&amp;"."&amp;ROWS($A$1:A17)&amp;"."&amp;$E$2&amp;"."&amp;$F$2</f>
        <v>*.17.*.*</v>
      </c>
      <c r="J18" s="86" t="str">
        <f>$C$2&amp;"."&amp;$D$2&amp;"."&amp;ROWS($A$1:A17)&amp;"."&amp;$F$2</f>
        <v>*.*.17.*</v>
      </c>
      <c r="K18" s="86" t="str">
        <f>$C$2&amp;"."&amp;$D$2&amp;"."&amp;$E$2&amp;"."&amp;ROWS($A$1:A17)</f>
        <v>*.*.*.17</v>
      </c>
    </row>
    <row r="19" spans="8:11" x14ac:dyDescent="0.2">
      <c r="H19" s="86" t="str">
        <f>ROWS($A$1:A18)&amp;"."&amp;$D$2&amp;"."&amp;$E$2&amp;"."&amp;$F$2</f>
        <v>18.*.*.*</v>
      </c>
      <c r="I19" s="86" t="str">
        <f>$C$2&amp;"."&amp;ROWS($A$1:A18)&amp;"."&amp;$E$2&amp;"."&amp;$F$2</f>
        <v>*.18.*.*</v>
      </c>
      <c r="J19" s="86" t="str">
        <f>$C$2&amp;"."&amp;$D$2&amp;"."&amp;ROWS($A$1:A18)&amp;"."&amp;$F$2</f>
        <v>*.*.18.*</v>
      </c>
      <c r="K19" s="86" t="str">
        <f>$C$2&amp;"."&amp;$D$2&amp;"."&amp;$E$2&amp;"."&amp;ROWS($A$1:A18)</f>
        <v>*.*.*.18</v>
      </c>
    </row>
    <row r="20" spans="8:11" x14ac:dyDescent="0.2">
      <c r="H20" s="86" t="str">
        <f>ROWS($A$1:A19)&amp;"."&amp;$D$2&amp;"."&amp;$E$2&amp;"."&amp;$F$2</f>
        <v>19.*.*.*</v>
      </c>
      <c r="I20" s="86" t="str">
        <f>$C$2&amp;"."&amp;ROWS($A$1:A19)&amp;"."&amp;$E$2&amp;"."&amp;$F$2</f>
        <v>*.19.*.*</v>
      </c>
      <c r="J20" s="86" t="str">
        <f>$C$2&amp;"."&amp;$D$2&amp;"."&amp;ROWS($A$1:A19)&amp;"."&amp;$F$2</f>
        <v>*.*.19.*</v>
      </c>
      <c r="K20" s="86" t="str">
        <f>$C$2&amp;"."&amp;$D$2&amp;"."&amp;$E$2&amp;"."&amp;ROWS($A$1:A19)</f>
        <v>*.*.*.19</v>
      </c>
    </row>
    <row r="21" spans="8:11" x14ac:dyDescent="0.2">
      <c r="H21" s="86" t="str">
        <f>ROWS($A$1:A20)&amp;"."&amp;$D$2&amp;"."&amp;$E$2&amp;"."&amp;$F$2</f>
        <v>20.*.*.*</v>
      </c>
      <c r="I21" s="86" t="str">
        <f>$C$2&amp;"."&amp;ROWS($A$1:A20)&amp;"."&amp;$E$2&amp;"."&amp;$F$2</f>
        <v>*.20.*.*</v>
      </c>
      <c r="J21" s="86" t="str">
        <f>$C$2&amp;"."&amp;$D$2&amp;"."&amp;ROWS($A$1:A20)&amp;"."&amp;$F$2</f>
        <v>*.*.20.*</v>
      </c>
      <c r="K21" s="86" t="str">
        <f>$C$2&amp;"."&amp;$D$2&amp;"."&amp;$E$2&amp;"."&amp;ROWS($A$1:A20)</f>
        <v>*.*.*.20</v>
      </c>
    </row>
    <row r="22" spans="8:11" x14ac:dyDescent="0.2">
      <c r="H22" s="86" t="str">
        <f>ROWS($A$1:A21)&amp;"."&amp;$D$2&amp;"."&amp;$E$2&amp;"."&amp;$F$2</f>
        <v>21.*.*.*</v>
      </c>
      <c r="I22" s="86" t="str">
        <f>$C$2&amp;"."&amp;ROWS($A$1:A21)&amp;"."&amp;$E$2&amp;"."&amp;$F$2</f>
        <v>*.21.*.*</v>
      </c>
      <c r="J22" s="86" t="str">
        <f>$C$2&amp;"."&amp;$D$2&amp;"."&amp;ROWS($A$1:A21)&amp;"."&amp;$F$2</f>
        <v>*.*.21.*</v>
      </c>
      <c r="K22" s="86" t="str">
        <f>$C$2&amp;"."&amp;$D$2&amp;"."&amp;$E$2&amp;"."&amp;ROWS($A$1:A21)</f>
        <v>*.*.*.21</v>
      </c>
    </row>
    <row r="23" spans="8:11" x14ac:dyDescent="0.2">
      <c r="H23" s="86" t="str">
        <f>ROWS($A$1:A22)&amp;"."&amp;$D$2&amp;"."&amp;$E$2&amp;"."&amp;$F$2</f>
        <v>22.*.*.*</v>
      </c>
      <c r="I23" s="86" t="str">
        <f>$C$2&amp;"."&amp;ROWS($A$1:A22)&amp;"."&amp;$E$2&amp;"."&amp;$F$2</f>
        <v>*.22.*.*</v>
      </c>
      <c r="J23" s="86" t="str">
        <f>$C$2&amp;"."&amp;$D$2&amp;"."&amp;ROWS($A$1:A22)&amp;"."&amp;$F$2</f>
        <v>*.*.22.*</v>
      </c>
      <c r="K23" s="86" t="str">
        <f>$C$2&amp;"."&amp;$D$2&amp;"."&amp;$E$2&amp;"."&amp;ROWS($A$1:A22)</f>
        <v>*.*.*.22</v>
      </c>
    </row>
    <row r="24" spans="8:11" x14ac:dyDescent="0.2">
      <c r="H24" s="86" t="str">
        <f>ROWS($A$1:A23)&amp;"."&amp;$D$2&amp;"."&amp;$E$2&amp;"."&amp;$F$2</f>
        <v>23.*.*.*</v>
      </c>
      <c r="I24" s="86" t="str">
        <f>$C$2&amp;"."&amp;ROWS($A$1:A23)&amp;"."&amp;$E$2&amp;"."&amp;$F$2</f>
        <v>*.23.*.*</v>
      </c>
      <c r="J24" s="86" t="str">
        <f>$C$2&amp;"."&amp;$D$2&amp;"."&amp;ROWS($A$1:A23)&amp;"."&amp;$F$2</f>
        <v>*.*.23.*</v>
      </c>
      <c r="K24" s="86" t="str">
        <f>$C$2&amp;"."&amp;$D$2&amp;"."&amp;$E$2&amp;"."&amp;ROWS($A$1:A23)</f>
        <v>*.*.*.23</v>
      </c>
    </row>
    <row r="25" spans="8:11" x14ac:dyDescent="0.2">
      <c r="H25" s="86" t="str">
        <f>ROWS($A$1:A24)&amp;"."&amp;$D$2&amp;"."&amp;$E$2&amp;"."&amp;$F$2</f>
        <v>24.*.*.*</v>
      </c>
      <c r="I25" s="86" t="str">
        <f>$C$2&amp;"."&amp;ROWS($A$1:A24)&amp;"."&amp;$E$2&amp;"."&amp;$F$2</f>
        <v>*.24.*.*</v>
      </c>
      <c r="J25" s="86" t="str">
        <f>$C$2&amp;"."&amp;$D$2&amp;"."&amp;ROWS($A$1:A24)&amp;"."&amp;$F$2</f>
        <v>*.*.24.*</v>
      </c>
      <c r="K25" s="86" t="str">
        <f>$C$2&amp;"."&amp;$D$2&amp;"."&amp;$E$2&amp;"."&amp;ROWS($A$1:A24)</f>
        <v>*.*.*.24</v>
      </c>
    </row>
    <row r="26" spans="8:11" x14ac:dyDescent="0.2">
      <c r="H26" s="86" t="str">
        <f>ROWS($A$1:A25)&amp;"."&amp;$D$2&amp;"."&amp;$E$2&amp;"."&amp;$F$2</f>
        <v>25.*.*.*</v>
      </c>
      <c r="I26" s="86" t="str">
        <f>$C$2&amp;"."&amp;ROWS($A$1:A25)&amp;"."&amp;$E$2&amp;"."&amp;$F$2</f>
        <v>*.25.*.*</v>
      </c>
      <c r="J26" s="86" t="str">
        <f>$C$2&amp;"."&amp;$D$2&amp;"."&amp;ROWS($A$1:A25)&amp;"."&amp;$F$2</f>
        <v>*.*.25.*</v>
      </c>
      <c r="K26" s="86" t="str">
        <f>$C$2&amp;"."&amp;$D$2&amp;"."&amp;$E$2&amp;"."&amp;ROWS($A$1:A25)</f>
        <v>*.*.*.25</v>
      </c>
    </row>
    <row r="27" spans="8:11" x14ac:dyDescent="0.2">
      <c r="H27" s="86" t="str">
        <f>ROWS($A$1:A26)&amp;"."&amp;$D$2&amp;"."&amp;$E$2&amp;"."&amp;$F$2</f>
        <v>26.*.*.*</v>
      </c>
      <c r="I27" s="86" t="str">
        <f>$C$2&amp;"."&amp;ROWS($A$1:A26)&amp;"."&amp;$E$2&amp;"."&amp;$F$2</f>
        <v>*.26.*.*</v>
      </c>
      <c r="J27" s="86" t="str">
        <f>$C$2&amp;"."&amp;$D$2&amp;"."&amp;ROWS($A$1:A26)&amp;"."&amp;$F$2</f>
        <v>*.*.26.*</v>
      </c>
      <c r="K27" s="86" t="str">
        <f>$C$2&amp;"."&amp;$D$2&amp;"."&amp;$E$2&amp;"."&amp;ROWS($A$1:A26)</f>
        <v>*.*.*.26</v>
      </c>
    </row>
    <row r="28" spans="8:11" x14ac:dyDescent="0.2">
      <c r="H28" s="86" t="str">
        <f>ROWS($A$1:A27)&amp;"."&amp;$D$2&amp;"."&amp;$E$2&amp;"."&amp;$F$2</f>
        <v>27.*.*.*</v>
      </c>
      <c r="I28" s="86" t="str">
        <f>$C$2&amp;"."&amp;ROWS($A$1:A27)&amp;"."&amp;$E$2&amp;"."&amp;$F$2</f>
        <v>*.27.*.*</v>
      </c>
      <c r="J28" s="86" t="str">
        <f>$C$2&amp;"."&amp;$D$2&amp;"."&amp;ROWS($A$1:A27)&amp;"."&amp;$F$2</f>
        <v>*.*.27.*</v>
      </c>
      <c r="K28" s="86" t="str">
        <f>$C$2&amp;"."&amp;$D$2&amp;"."&amp;$E$2&amp;"."&amp;ROWS($A$1:A27)</f>
        <v>*.*.*.27</v>
      </c>
    </row>
    <row r="29" spans="8:11" x14ac:dyDescent="0.2">
      <c r="H29" s="86" t="str">
        <f>ROWS($A$1:A28)&amp;"."&amp;$D$2&amp;"."&amp;$E$2&amp;"."&amp;$F$2</f>
        <v>28.*.*.*</v>
      </c>
      <c r="I29" s="86" t="str">
        <f>$C$2&amp;"."&amp;ROWS($A$1:A28)&amp;"."&amp;$E$2&amp;"."&amp;$F$2</f>
        <v>*.28.*.*</v>
      </c>
      <c r="J29" s="86" t="str">
        <f>$C$2&amp;"."&amp;$D$2&amp;"."&amp;ROWS($A$1:A28)&amp;"."&amp;$F$2</f>
        <v>*.*.28.*</v>
      </c>
      <c r="K29" s="86" t="str">
        <f>$C$2&amp;"."&amp;$D$2&amp;"."&amp;$E$2&amp;"."&amp;ROWS($A$1:A28)</f>
        <v>*.*.*.28</v>
      </c>
    </row>
    <row r="30" spans="8:11" x14ac:dyDescent="0.2">
      <c r="H30" s="86" t="str">
        <f>ROWS($A$1:A29)&amp;"."&amp;$D$2&amp;"."&amp;$E$2&amp;"."&amp;$F$2</f>
        <v>29.*.*.*</v>
      </c>
      <c r="I30" s="86" t="str">
        <f>$C$2&amp;"."&amp;ROWS($A$1:A29)&amp;"."&amp;$E$2&amp;"."&amp;$F$2</f>
        <v>*.29.*.*</v>
      </c>
      <c r="J30" s="86" t="str">
        <f>$C$2&amp;"."&amp;$D$2&amp;"."&amp;ROWS($A$1:A29)&amp;"."&amp;$F$2</f>
        <v>*.*.29.*</v>
      </c>
      <c r="K30" s="86" t="str">
        <f>$C$2&amp;"."&amp;$D$2&amp;"."&amp;$E$2&amp;"."&amp;ROWS($A$1:A29)</f>
        <v>*.*.*.29</v>
      </c>
    </row>
    <row r="31" spans="8:11" x14ac:dyDescent="0.2">
      <c r="H31" s="86" t="str">
        <f>ROWS($A$1:A30)&amp;"."&amp;$D$2&amp;"."&amp;$E$2&amp;"."&amp;$F$2</f>
        <v>30.*.*.*</v>
      </c>
      <c r="I31" s="86" t="str">
        <f>$C$2&amp;"."&amp;ROWS($A$1:A30)&amp;"."&amp;$E$2&amp;"."&amp;$F$2</f>
        <v>*.30.*.*</v>
      </c>
      <c r="J31" s="86" t="str">
        <f>$C$2&amp;"."&amp;$D$2&amp;"."&amp;ROWS($A$1:A30)&amp;"."&amp;$F$2</f>
        <v>*.*.30.*</v>
      </c>
      <c r="K31" s="86" t="str">
        <f>$C$2&amp;"."&amp;$D$2&amp;"."&amp;$E$2&amp;"."&amp;ROWS($A$1:A30)</f>
        <v>*.*.*.30</v>
      </c>
    </row>
    <row r="32" spans="8:11" x14ac:dyDescent="0.2">
      <c r="H32" s="86" t="str">
        <f>ROWS($A$1:A31)&amp;"."&amp;$D$2&amp;"."&amp;$E$2&amp;"."&amp;$F$2</f>
        <v>31.*.*.*</v>
      </c>
      <c r="I32" s="86" t="str">
        <f>$C$2&amp;"."&amp;ROWS($A$1:A31)&amp;"."&amp;$E$2&amp;"."&amp;$F$2</f>
        <v>*.31.*.*</v>
      </c>
      <c r="J32" s="86" t="str">
        <f>$C$2&amp;"."&amp;$D$2&amp;"."&amp;ROWS($A$1:A31)&amp;"."&amp;$F$2</f>
        <v>*.*.31.*</v>
      </c>
      <c r="K32" s="86" t="str">
        <f>$C$2&amp;"."&amp;$D$2&amp;"."&amp;$E$2&amp;"."&amp;ROWS($A$1:A31)</f>
        <v>*.*.*.31</v>
      </c>
    </row>
    <row r="33" spans="8:11" x14ac:dyDescent="0.2">
      <c r="H33" s="86" t="str">
        <f>ROWS($A$1:A32)&amp;"."&amp;$D$2&amp;"."&amp;$E$2&amp;"."&amp;$F$2</f>
        <v>32.*.*.*</v>
      </c>
      <c r="I33" s="86" t="str">
        <f>$C$2&amp;"."&amp;ROWS($A$1:A32)&amp;"."&amp;$E$2&amp;"."&amp;$F$2</f>
        <v>*.32.*.*</v>
      </c>
      <c r="J33" s="86" t="str">
        <f>$C$2&amp;"."&amp;$D$2&amp;"."&amp;ROWS($A$1:A32)&amp;"."&amp;$F$2</f>
        <v>*.*.32.*</v>
      </c>
      <c r="K33" s="86" t="str">
        <f>$C$2&amp;"."&amp;$D$2&amp;"."&amp;$E$2&amp;"."&amp;ROWS($A$1:A32)</f>
        <v>*.*.*.32</v>
      </c>
    </row>
    <row r="34" spans="8:11" x14ac:dyDescent="0.2">
      <c r="H34" s="86" t="str">
        <f>ROWS($A$1:A33)&amp;"."&amp;$D$2&amp;"."&amp;$E$2&amp;"."&amp;$F$2</f>
        <v>33.*.*.*</v>
      </c>
      <c r="I34" s="86" t="str">
        <f>$C$2&amp;"."&amp;ROWS($A$1:A33)&amp;"."&amp;$E$2&amp;"."&amp;$F$2</f>
        <v>*.33.*.*</v>
      </c>
      <c r="J34" s="86" t="str">
        <f>$C$2&amp;"."&amp;$D$2&amp;"."&amp;ROWS($A$1:A33)&amp;"."&amp;$F$2</f>
        <v>*.*.33.*</v>
      </c>
      <c r="K34" s="86" t="str">
        <f>$C$2&amp;"."&amp;$D$2&amp;"."&amp;$E$2&amp;"."&amp;ROWS($A$1:A33)</f>
        <v>*.*.*.33</v>
      </c>
    </row>
    <row r="35" spans="8:11" x14ac:dyDescent="0.2">
      <c r="H35" s="86" t="str">
        <f>ROWS($A$1:A34)&amp;"."&amp;$D$2&amp;"."&amp;$E$2&amp;"."&amp;$F$2</f>
        <v>34.*.*.*</v>
      </c>
      <c r="I35" s="86" t="str">
        <f>$C$2&amp;"."&amp;ROWS($A$1:A34)&amp;"."&amp;$E$2&amp;"."&amp;$F$2</f>
        <v>*.34.*.*</v>
      </c>
      <c r="J35" s="86" t="str">
        <f>$C$2&amp;"."&amp;$D$2&amp;"."&amp;ROWS($A$1:A34)&amp;"."&amp;$F$2</f>
        <v>*.*.34.*</v>
      </c>
      <c r="K35" s="86" t="str">
        <f>$C$2&amp;"."&amp;$D$2&amp;"."&amp;$E$2&amp;"."&amp;ROWS($A$1:A34)</f>
        <v>*.*.*.34</v>
      </c>
    </row>
    <row r="36" spans="8:11" x14ac:dyDescent="0.2">
      <c r="H36" s="86" t="str">
        <f>ROWS($A$1:A35)&amp;"."&amp;$D$2&amp;"."&amp;$E$2&amp;"."&amp;$F$2</f>
        <v>35.*.*.*</v>
      </c>
      <c r="I36" s="86" t="str">
        <f>$C$2&amp;"."&amp;ROWS($A$1:A35)&amp;"."&amp;$E$2&amp;"."&amp;$F$2</f>
        <v>*.35.*.*</v>
      </c>
      <c r="J36" s="86" t="str">
        <f>$C$2&amp;"."&amp;$D$2&amp;"."&amp;ROWS($A$1:A35)&amp;"."&amp;$F$2</f>
        <v>*.*.35.*</v>
      </c>
      <c r="K36" s="86" t="str">
        <f>$C$2&amp;"."&amp;$D$2&amp;"."&amp;$E$2&amp;"."&amp;ROWS($A$1:A35)</f>
        <v>*.*.*.35</v>
      </c>
    </row>
    <row r="37" spans="8:11" x14ac:dyDescent="0.2">
      <c r="H37" s="86" t="str">
        <f>ROWS($A$1:A36)&amp;"."&amp;$D$2&amp;"."&amp;$E$2&amp;"."&amp;$F$2</f>
        <v>36.*.*.*</v>
      </c>
      <c r="I37" s="86" t="str">
        <f>$C$2&amp;"."&amp;ROWS($A$1:A36)&amp;"."&amp;$E$2&amp;"."&amp;$F$2</f>
        <v>*.36.*.*</v>
      </c>
      <c r="J37" s="86" t="str">
        <f>$C$2&amp;"."&amp;$D$2&amp;"."&amp;ROWS($A$1:A36)&amp;"."&amp;$F$2</f>
        <v>*.*.36.*</v>
      </c>
      <c r="K37" s="86" t="str">
        <f>$C$2&amp;"."&amp;$D$2&amp;"."&amp;$E$2&amp;"."&amp;ROWS($A$1:A36)</f>
        <v>*.*.*.36</v>
      </c>
    </row>
    <row r="38" spans="8:11" x14ac:dyDescent="0.2">
      <c r="H38" s="86" t="str">
        <f>ROWS($A$1:A37)&amp;"."&amp;$D$2&amp;"."&amp;$E$2&amp;"."&amp;$F$2</f>
        <v>37.*.*.*</v>
      </c>
      <c r="I38" s="86" t="str">
        <f>$C$2&amp;"."&amp;ROWS($A$1:A37)&amp;"."&amp;$E$2&amp;"."&amp;$F$2</f>
        <v>*.37.*.*</v>
      </c>
      <c r="J38" s="86" t="str">
        <f>$C$2&amp;"."&amp;$D$2&amp;"."&amp;ROWS($A$1:A37)&amp;"."&amp;$F$2</f>
        <v>*.*.37.*</v>
      </c>
      <c r="K38" s="86" t="str">
        <f>$C$2&amp;"."&amp;$D$2&amp;"."&amp;$E$2&amp;"."&amp;ROWS($A$1:A37)</f>
        <v>*.*.*.37</v>
      </c>
    </row>
    <row r="39" spans="8:11" x14ac:dyDescent="0.2">
      <c r="H39" s="86" t="str">
        <f>ROWS($A$1:A38)&amp;"."&amp;$D$2&amp;"."&amp;$E$2&amp;"."&amp;$F$2</f>
        <v>38.*.*.*</v>
      </c>
      <c r="I39" s="86" t="str">
        <f>$C$2&amp;"."&amp;ROWS($A$1:A38)&amp;"."&amp;$E$2&amp;"."&amp;$F$2</f>
        <v>*.38.*.*</v>
      </c>
      <c r="J39" s="86" t="str">
        <f>$C$2&amp;"."&amp;$D$2&amp;"."&amp;ROWS($A$1:A38)&amp;"."&amp;$F$2</f>
        <v>*.*.38.*</v>
      </c>
      <c r="K39" s="86" t="str">
        <f>$C$2&amp;"."&amp;$D$2&amp;"."&amp;$E$2&amp;"."&amp;ROWS($A$1:A38)</f>
        <v>*.*.*.38</v>
      </c>
    </row>
    <row r="40" spans="8:11" x14ac:dyDescent="0.2">
      <c r="H40" s="86" t="str">
        <f>ROWS($A$1:A39)&amp;"."&amp;$D$2&amp;"."&amp;$E$2&amp;"."&amp;$F$2</f>
        <v>39.*.*.*</v>
      </c>
      <c r="I40" s="86" t="str">
        <f>$C$2&amp;"."&amp;ROWS($A$1:A39)&amp;"."&amp;$E$2&amp;"."&amp;$F$2</f>
        <v>*.39.*.*</v>
      </c>
      <c r="J40" s="86" t="str">
        <f>$C$2&amp;"."&amp;$D$2&amp;"."&amp;ROWS($A$1:A39)&amp;"."&amp;$F$2</f>
        <v>*.*.39.*</v>
      </c>
      <c r="K40" s="86" t="str">
        <f>$C$2&amp;"."&amp;$D$2&amp;"."&amp;$E$2&amp;"."&amp;ROWS($A$1:A39)</f>
        <v>*.*.*.39</v>
      </c>
    </row>
    <row r="41" spans="8:11" x14ac:dyDescent="0.2">
      <c r="H41" s="86" t="str">
        <f>ROWS($A$1:A40)&amp;"."&amp;$D$2&amp;"."&amp;$E$2&amp;"."&amp;$F$2</f>
        <v>40.*.*.*</v>
      </c>
      <c r="I41" s="86" t="str">
        <f>$C$2&amp;"."&amp;ROWS($A$1:A40)&amp;"."&amp;$E$2&amp;"."&amp;$F$2</f>
        <v>*.40.*.*</v>
      </c>
      <c r="J41" s="86" t="str">
        <f>$C$2&amp;"."&amp;$D$2&amp;"."&amp;ROWS($A$1:A40)&amp;"."&amp;$F$2</f>
        <v>*.*.40.*</v>
      </c>
      <c r="K41" s="86" t="str">
        <f>$C$2&amp;"."&amp;$D$2&amp;"."&amp;$E$2&amp;"."&amp;ROWS($A$1:A40)</f>
        <v>*.*.*.40</v>
      </c>
    </row>
    <row r="42" spans="8:11" x14ac:dyDescent="0.2">
      <c r="H42" s="86" t="str">
        <f>ROWS($A$1:A41)&amp;"."&amp;$D$2&amp;"."&amp;$E$2&amp;"."&amp;$F$2</f>
        <v>41.*.*.*</v>
      </c>
      <c r="I42" s="86" t="str">
        <f>$C$2&amp;"."&amp;ROWS($A$1:A41)&amp;"."&amp;$E$2&amp;"."&amp;$F$2</f>
        <v>*.41.*.*</v>
      </c>
      <c r="J42" s="86" t="str">
        <f>$C$2&amp;"."&amp;$D$2&amp;"."&amp;ROWS($A$1:A41)&amp;"."&amp;$F$2</f>
        <v>*.*.41.*</v>
      </c>
      <c r="K42" s="86" t="str">
        <f>$C$2&amp;"."&amp;$D$2&amp;"."&amp;$E$2&amp;"."&amp;ROWS($A$1:A41)</f>
        <v>*.*.*.41</v>
      </c>
    </row>
    <row r="43" spans="8:11" x14ac:dyDescent="0.2">
      <c r="H43" s="86" t="str">
        <f>ROWS($A$1:A42)&amp;"."&amp;$D$2&amp;"."&amp;$E$2&amp;"."&amp;$F$2</f>
        <v>42.*.*.*</v>
      </c>
      <c r="I43" s="86" t="str">
        <f>$C$2&amp;"."&amp;ROWS($A$1:A42)&amp;"."&amp;$E$2&amp;"."&amp;$F$2</f>
        <v>*.42.*.*</v>
      </c>
      <c r="J43" s="86" t="str">
        <f>$C$2&amp;"."&amp;$D$2&amp;"."&amp;ROWS($A$1:A42)&amp;"."&amp;$F$2</f>
        <v>*.*.42.*</v>
      </c>
      <c r="K43" s="86" t="str">
        <f>$C$2&amp;"."&amp;$D$2&amp;"."&amp;$E$2&amp;"."&amp;ROWS($A$1:A42)</f>
        <v>*.*.*.42</v>
      </c>
    </row>
    <row r="44" spans="8:11" x14ac:dyDescent="0.2">
      <c r="H44" s="86" t="str">
        <f>ROWS($A$1:A43)&amp;"."&amp;$D$2&amp;"."&amp;$E$2&amp;"."&amp;$F$2</f>
        <v>43.*.*.*</v>
      </c>
      <c r="I44" s="86" t="str">
        <f>$C$2&amp;"."&amp;ROWS($A$1:A43)&amp;"."&amp;$E$2&amp;"."&amp;$F$2</f>
        <v>*.43.*.*</v>
      </c>
      <c r="J44" s="86" t="str">
        <f>$C$2&amp;"."&amp;$D$2&amp;"."&amp;ROWS($A$1:A43)&amp;"."&amp;$F$2</f>
        <v>*.*.43.*</v>
      </c>
      <c r="K44" s="86" t="str">
        <f>$C$2&amp;"."&amp;$D$2&amp;"."&amp;$E$2&amp;"."&amp;ROWS($A$1:A43)</f>
        <v>*.*.*.43</v>
      </c>
    </row>
    <row r="45" spans="8:11" x14ac:dyDescent="0.2">
      <c r="H45" s="86" t="str">
        <f>ROWS($A$1:A44)&amp;"."&amp;$D$2&amp;"."&amp;$E$2&amp;"."&amp;$F$2</f>
        <v>44.*.*.*</v>
      </c>
      <c r="I45" s="86" t="str">
        <f>$C$2&amp;"."&amp;ROWS($A$1:A44)&amp;"."&amp;$E$2&amp;"."&amp;$F$2</f>
        <v>*.44.*.*</v>
      </c>
      <c r="J45" s="86" t="str">
        <f>$C$2&amp;"."&amp;$D$2&amp;"."&amp;ROWS($A$1:A44)&amp;"."&amp;$F$2</f>
        <v>*.*.44.*</v>
      </c>
      <c r="K45" s="86" t="str">
        <f>$C$2&amp;"."&amp;$D$2&amp;"."&amp;$E$2&amp;"."&amp;ROWS($A$1:A44)</f>
        <v>*.*.*.44</v>
      </c>
    </row>
    <row r="46" spans="8:11" x14ac:dyDescent="0.2">
      <c r="H46" s="86" t="str">
        <f>ROWS($A$1:A45)&amp;"."&amp;$D$2&amp;"."&amp;$E$2&amp;"."&amp;$F$2</f>
        <v>45.*.*.*</v>
      </c>
      <c r="I46" s="86" t="str">
        <f>$C$2&amp;"."&amp;ROWS($A$1:A45)&amp;"."&amp;$E$2&amp;"."&amp;$F$2</f>
        <v>*.45.*.*</v>
      </c>
      <c r="J46" s="86" t="str">
        <f>$C$2&amp;"."&amp;$D$2&amp;"."&amp;ROWS($A$1:A45)&amp;"."&amp;$F$2</f>
        <v>*.*.45.*</v>
      </c>
      <c r="K46" s="86" t="str">
        <f>$C$2&amp;"."&amp;$D$2&amp;"."&amp;$E$2&amp;"."&amp;ROWS($A$1:A45)</f>
        <v>*.*.*.45</v>
      </c>
    </row>
    <row r="47" spans="8:11" x14ac:dyDescent="0.2">
      <c r="H47" s="86" t="str">
        <f>ROWS($A$1:A46)&amp;"."&amp;$D$2&amp;"."&amp;$E$2&amp;"."&amp;$F$2</f>
        <v>46.*.*.*</v>
      </c>
      <c r="I47" s="86" t="str">
        <f>$C$2&amp;"."&amp;ROWS($A$1:A46)&amp;"."&amp;$E$2&amp;"."&amp;$F$2</f>
        <v>*.46.*.*</v>
      </c>
      <c r="J47" s="86" t="str">
        <f>$C$2&amp;"."&amp;$D$2&amp;"."&amp;ROWS($A$1:A46)&amp;"."&amp;$F$2</f>
        <v>*.*.46.*</v>
      </c>
      <c r="K47" s="86" t="str">
        <f>$C$2&amp;"."&amp;$D$2&amp;"."&amp;$E$2&amp;"."&amp;ROWS($A$1:A46)</f>
        <v>*.*.*.46</v>
      </c>
    </row>
    <row r="48" spans="8:11" x14ac:dyDescent="0.2">
      <c r="H48" s="86" t="str">
        <f>ROWS($A$1:A47)&amp;"."&amp;$D$2&amp;"."&amp;$E$2&amp;"."&amp;$F$2</f>
        <v>47.*.*.*</v>
      </c>
      <c r="I48" s="86" t="str">
        <f>$C$2&amp;"."&amp;ROWS($A$1:A47)&amp;"."&amp;$E$2&amp;"."&amp;$F$2</f>
        <v>*.47.*.*</v>
      </c>
      <c r="J48" s="86" t="str">
        <f>$C$2&amp;"."&amp;$D$2&amp;"."&amp;ROWS($A$1:A47)&amp;"."&amp;$F$2</f>
        <v>*.*.47.*</v>
      </c>
      <c r="K48" s="86" t="str">
        <f>$C$2&amp;"."&amp;$D$2&amp;"."&amp;$E$2&amp;"."&amp;ROWS($A$1:A47)</f>
        <v>*.*.*.47</v>
      </c>
    </row>
    <row r="49" spans="8:11" x14ac:dyDescent="0.2">
      <c r="H49" s="86" t="str">
        <f>ROWS($A$1:A48)&amp;"."&amp;$D$2&amp;"."&amp;$E$2&amp;"."&amp;$F$2</f>
        <v>48.*.*.*</v>
      </c>
      <c r="I49" s="86" t="str">
        <f>$C$2&amp;"."&amp;ROWS($A$1:A48)&amp;"."&amp;$E$2&amp;"."&amp;$F$2</f>
        <v>*.48.*.*</v>
      </c>
      <c r="J49" s="86" t="str">
        <f>$C$2&amp;"."&amp;$D$2&amp;"."&amp;ROWS($A$1:A48)&amp;"."&amp;$F$2</f>
        <v>*.*.48.*</v>
      </c>
      <c r="K49" s="86" t="str">
        <f>$C$2&amp;"."&amp;$D$2&amp;"."&amp;$E$2&amp;"."&amp;ROWS($A$1:A48)</f>
        <v>*.*.*.48</v>
      </c>
    </row>
    <row r="50" spans="8:11" x14ac:dyDescent="0.2">
      <c r="H50" s="86" t="str">
        <f>ROWS($A$1:A49)&amp;"."&amp;$D$2&amp;"."&amp;$E$2&amp;"."&amp;$F$2</f>
        <v>49.*.*.*</v>
      </c>
      <c r="I50" s="86" t="str">
        <f>$C$2&amp;"."&amp;ROWS($A$1:A49)&amp;"."&amp;$E$2&amp;"."&amp;$F$2</f>
        <v>*.49.*.*</v>
      </c>
      <c r="J50" s="86" t="str">
        <f>$C$2&amp;"."&amp;$D$2&amp;"."&amp;ROWS($A$1:A49)&amp;"."&amp;$F$2</f>
        <v>*.*.49.*</v>
      </c>
      <c r="K50" s="86" t="str">
        <f>$C$2&amp;"."&amp;$D$2&amp;"."&amp;$E$2&amp;"."&amp;ROWS($A$1:A49)</f>
        <v>*.*.*.49</v>
      </c>
    </row>
    <row r="51" spans="8:11" x14ac:dyDescent="0.2">
      <c r="H51" s="86" t="str">
        <f>ROWS($A$1:A50)&amp;"."&amp;$D$2&amp;"."&amp;$E$2&amp;"."&amp;$F$2</f>
        <v>50.*.*.*</v>
      </c>
      <c r="I51" s="86" t="str">
        <f>$C$2&amp;"."&amp;ROWS($A$1:A50)&amp;"."&amp;$E$2&amp;"."&amp;$F$2</f>
        <v>*.50.*.*</v>
      </c>
      <c r="J51" s="86" t="str">
        <f>$C$2&amp;"."&amp;$D$2&amp;"."&amp;ROWS($A$1:A50)&amp;"."&amp;$F$2</f>
        <v>*.*.50.*</v>
      </c>
      <c r="K51" s="86" t="str">
        <f>$C$2&amp;"."&amp;$D$2&amp;"."&amp;$E$2&amp;"."&amp;ROWS($A$1:A50)</f>
        <v>*.*.*.50</v>
      </c>
    </row>
    <row r="52" spans="8:11" x14ac:dyDescent="0.2">
      <c r="H52" s="86" t="str">
        <f>ROWS($A$1:A51)&amp;"."&amp;$D$2&amp;"."&amp;$E$2&amp;"."&amp;$F$2</f>
        <v>51.*.*.*</v>
      </c>
      <c r="I52" s="86" t="str">
        <f>$C$2&amp;"."&amp;ROWS($A$1:A51)&amp;"."&amp;$E$2&amp;"."&amp;$F$2</f>
        <v>*.51.*.*</v>
      </c>
      <c r="J52" s="86" t="str">
        <f>$C$2&amp;"."&amp;$D$2&amp;"."&amp;ROWS($A$1:A51)&amp;"."&amp;$F$2</f>
        <v>*.*.51.*</v>
      </c>
      <c r="K52" s="86" t="str">
        <f>$C$2&amp;"."&amp;$D$2&amp;"."&amp;$E$2&amp;"."&amp;ROWS($A$1:A51)</f>
        <v>*.*.*.51</v>
      </c>
    </row>
    <row r="53" spans="8:11" x14ac:dyDescent="0.2">
      <c r="H53" s="86" t="str">
        <f>ROWS($A$1:A52)&amp;"."&amp;$D$2&amp;"."&amp;$E$2&amp;"."&amp;$F$2</f>
        <v>52.*.*.*</v>
      </c>
      <c r="I53" s="86" t="str">
        <f>$C$2&amp;"."&amp;ROWS($A$1:A52)&amp;"."&amp;$E$2&amp;"."&amp;$F$2</f>
        <v>*.52.*.*</v>
      </c>
      <c r="J53" s="86" t="str">
        <f>$C$2&amp;"."&amp;$D$2&amp;"."&amp;ROWS($A$1:A52)&amp;"."&amp;$F$2</f>
        <v>*.*.52.*</v>
      </c>
      <c r="K53" s="86" t="str">
        <f>$C$2&amp;"."&amp;$D$2&amp;"."&amp;$E$2&amp;"."&amp;ROWS($A$1:A52)</f>
        <v>*.*.*.52</v>
      </c>
    </row>
    <row r="54" spans="8:11" x14ac:dyDescent="0.2">
      <c r="H54" s="86" t="str">
        <f>ROWS($A$1:A53)&amp;"."&amp;$D$2&amp;"."&amp;$E$2&amp;"."&amp;$F$2</f>
        <v>53.*.*.*</v>
      </c>
      <c r="I54" s="86" t="str">
        <f>$C$2&amp;"."&amp;ROWS($A$1:A53)&amp;"."&amp;$E$2&amp;"."&amp;$F$2</f>
        <v>*.53.*.*</v>
      </c>
      <c r="J54" s="86" t="str">
        <f>$C$2&amp;"."&amp;$D$2&amp;"."&amp;ROWS($A$1:A53)&amp;"."&amp;$F$2</f>
        <v>*.*.53.*</v>
      </c>
      <c r="K54" s="86" t="str">
        <f>$C$2&amp;"."&amp;$D$2&amp;"."&amp;$E$2&amp;"."&amp;ROWS($A$1:A53)</f>
        <v>*.*.*.53</v>
      </c>
    </row>
    <row r="55" spans="8:11" x14ac:dyDescent="0.2">
      <c r="H55" s="86" t="str">
        <f>ROWS($A$1:A54)&amp;"."&amp;$D$2&amp;"."&amp;$E$2&amp;"."&amp;$F$2</f>
        <v>54.*.*.*</v>
      </c>
      <c r="I55" s="86" t="str">
        <f>$C$2&amp;"."&amp;ROWS($A$1:A54)&amp;"."&amp;$E$2&amp;"."&amp;$F$2</f>
        <v>*.54.*.*</v>
      </c>
      <c r="J55" s="86" t="str">
        <f>$C$2&amp;"."&amp;$D$2&amp;"."&amp;ROWS($A$1:A54)&amp;"."&amp;$F$2</f>
        <v>*.*.54.*</v>
      </c>
      <c r="K55" s="86" t="str">
        <f>$C$2&amp;"."&amp;$D$2&amp;"."&amp;$E$2&amp;"."&amp;ROWS($A$1:A54)</f>
        <v>*.*.*.54</v>
      </c>
    </row>
    <row r="56" spans="8:11" x14ac:dyDescent="0.2">
      <c r="H56" s="86" t="str">
        <f>ROWS($A$1:A55)&amp;"."&amp;$D$2&amp;"."&amp;$E$2&amp;"."&amp;$F$2</f>
        <v>55.*.*.*</v>
      </c>
      <c r="I56" s="86" t="str">
        <f>$C$2&amp;"."&amp;ROWS($A$1:A55)&amp;"."&amp;$E$2&amp;"."&amp;$F$2</f>
        <v>*.55.*.*</v>
      </c>
      <c r="J56" s="86" t="str">
        <f>$C$2&amp;"."&amp;$D$2&amp;"."&amp;ROWS($A$1:A55)&amp;"."&amp;$F$2</f>
        <v>*.*.55.*</v>
      </c>
      <c r="K56" s="86" t="str">
        <f>$C$2&amp;"."&amp;$D$2&amp;"."&amp;$E$2&amp;"."&amp;ROWS($A$1:A55)</f>
        <v>*.*.*.55</v>
      </c>
    </row>
    <row r="57" spans="8:11" x14ac:dyDescent="0.2">
      <c r="H57" s="86" t="str">
        <f>ROWS($A$1:A56)&amp;"."&amp;$D$2&amp;"."&amp;$E$2&amp;"."&amp;$F$2</f>
        <v>56.*.*.*</v>
      </c>
      <c r="I57" s="86" t="str">
        <f>$C$2&amp;"."&amp;ROWS($A$1:A56)&amp;"."&amp;$E$2&amp;"."&amp;$F$2</f>
        <v>*.56.*.*</v>
      </c>
      <c r="J57" s="86" t="str">
        <f>$C$2&amp;"."&amp;$D$2&amp;"."&amp;ROWS($A$1:A56)&amp;"."&amp;$F$2</f>
        <v>*.*.56.*</v>
      </c>
      <c r="K57" s="86" t="str">
        <f>$C$2&amp;"."&amp;$D$2&amp;"."&amp;$E$2&amp;"."&amp;ROWS($A$1:A56)</f>
        <v>*.*.*.56</v>
      </c>
    </row>
    <row r="58" spans="8:11" x14ac:dyDescent="0.2">
      <c r="H58" s="86" t="str">
        <f>ROWS($A$1:A57)&amp;"."&amp;$D$2&amp;"."&amp;$E$2&amp;"."&amp;$F$2</f>
        <v>57.*.*.*</v>
      </c>
      <c r="I58" s="86" t="str">
        <f>$C$2&amp;"."&amp;ROWS($A$1:A57)&amp;"."&amp;$E$2&amp;"."&amp;$F$2</f>
        <v>*.57.*.*</v>
      </c>
      <c r="J58" s="86" t="str">
        <f>$C$2&amp;"."&amp;$D$2&amp;"."&amp;ROWS($A$1:A57)&amp;"."&amp;$F$2</f>
        <v>*.*.57.*</v>
      </c>
      <c r="K58" s="86" t="str">
        <f>$C$2&amp;"."&amp;$D$2&amp;"."&amp;$E$2&amp;"."&amp;ROWS($A$1:A57)</f>
        <v>*.*.*.57</v>
      </c>
    </row>
    <row r="59" spans="8:11" x14ac:dyDescent="0.2">
      <c r="H59" s="86" t="str">
        <f>ROWS($A$1:A58)&amp;"."&amp;$D$2&amp;"."&amp;$E$2&amp;"."&amp;$F$2</f>
        <v>58.*.*.*</v>
      </c>
      <c r="I59" s="86" t="str">
        <f>$C$2&amp;"."&amp;ROWS($A$1:A58)&amp;"."&amp;$E$2&amp;"."&amp;$F$2</f>
        <v>*.58.*.*</v>
      </c>
      <c r="J59" s="86" t="str">
        <f>$C$2&amp;"."&amp;$D$2&amp;"."&amp;ROWS($A$1:A58)&amp;"."&amp;$F$2</f>
        <v>*.*.58.*</v>
      </c>
      <c r="K59" s="86" t="str">
        <f>$C$2&amp;"."&amp;$D$2&amp;"."&amp;$E$2&amp;"."&amp;ROWS($A$1:A58)</f>
        <v>*.*.*.58</v>
      </c>
    </row>
    <row r="60" spans="8:11" x14ac:dyDescent="0.2">
      <c r="H60" s="86" t="str">
        <f>ROWS($A$1:A59)&amp;"."&amp;$D$2&amp;"."&amp;$E$2&amp;"."&amp;$F$2</f>
        <v>59.*.*.*</v>
      </c>
      <c r="I60" s="86" t="str">
        <f>$C$2&amp;"."&amp;ROWS($A$1:A59)&amp;"."&amp;$E$2&amp;"."&amp;$F$2</f>
        <v>*.59.*.*</v>
      </c>
      <c r="J60" s="86" t="str">
        <f>$C$2&amp;"."&amp;$D$2&amp;"."&amp;ROWS($A$1:A59)&amp;"."&amp;$F$2</f>
        <v>*.*.59.*</v>
      </c>
      <c r="K60" s="86" t="str">
        <f>$C$2&amp;"."&amp;$D$2&amp;"."&amp;$E$2&amp;"."&amp;ROWS($A$1:A59)</f>
        <v>*.*.*.59</v>
      </c>
    </row>
    <row r="61" spans="8:11" x14ac:dyDescent="0.2">
      <c r="H61" s="86" t="str">
        <f>ROWS($A$1:A60)&amp;"."&amp;$D$2&amp;"."&amp;$E$2&amp;"."&amp;$F$2</f>
        <v>60.*.*.*</v>
      </c>
      <c r="I61" s="86" t="str">
        <f>$C$2&amp;"."&amp;ROWS($A$1:A60)&amp;"."&amp;$E$2&amp;"."&amp;$F$2</f>
        <v>*.60.*.*</v>
      </c>
      <c r="J61" s="86" t="str">
        <f>$C$2&amp;"."&amp;$D$2&amp;"."&amp;ROWS($A$1:A60)&amp;"."&amp;$F$2</f>
        <v>*.*.60.*</v>
      </c>
      <c r="K61" s="86" t="str">
        <f>$C$2&amp;"."&amp;$D$2&amp;"."&amp;$E$2&amp;"."&amp;ROWS($A$1:A60)</f>
        <v>*.*.*.60</v>
      </c>
    </row>
    <row r="62" spans="8:11" x14ac:dyDescent="0.2">
      <c r="H62" s="86" t="str">
        <f>ROWS($A$1:A61)&amp;"."&amp;$D$2&amp;"."&amp;$E$2&amp;"."&amp;$F$2</f>
        <v>61.*.*.*</v>
      </c>
      <c r="I62" s="86" t="str">
        <f>$C$2&amp;"."&amp;ROWS($A$1:A61)&amp;"."&amp;$E$2&amp;"."&amp;$F$2</f>
        <v>*.61.*.*</v>
      </c>
      <c r="J62" s="86" t="str">
        <f>$C$2&amp;"."&amp;$D$2&amp;"."&amp;ROWS($A$1:A61)&amp;"."&amp;$F$2</f>
        <v>*.*.61.*</v>
      </c>
      <c r="K62" s="86" t="str">
        <f>$C$2&amp;"."&amp;$D$2&amp;"."&amp;$E$2&amp;"."&amp;ROWS($A$1:A61)</f>
        <v>*.*.*.61</v>
      </c>
    </row>
    <row r="63" spans="8:11" x14ac:dyDescent="0.2">
      <c r="H63" s="86" t="str">
        <f>ROWS($A$1:A62)&amp;"."&amp;$D$2&amp;"."&amp;$E$2&amp;"."&amp;$F$2</f>
        <v>62.*.*.*</v>
      </c>
      <c r="I63" s="86" t="str">
        <f>$C$2&amp;"."&amp;ROWS($A$1:A62)&amp;"."&amp;$E$2&amp;"."&amp;$F$2</f>
        <v>*.62.*.*</v>
      </c>
      <c r="J63" s="86" t="str">
        <f>$C$2&amp;"."&amp;$D$2&amp;"."&amp;ROWS($A$1:A62)&amp;"."&amp;$F$2</f>
        <v>*.*.62.*</v>
      </c>
      <c r="K63" s="86" t="str">
        <f>$C$2&amp;"."&amp;$D$2&amp;"."&amp;$E$2&amp;"."&amp;ROWS($A$1:A62)</f>
        <v>*.*.*.62</v>
      </c>
    </row>
    <row r="64" spans="8:11" x14ac:dyDescent="0.2">
      <c r="H64" s="86" t="str">
        <f>ROWS($A$1:A63)&amp;"."&amp;$D$2&amp;"."&amp;$E$2&amp;"."&amp;$F$2</f>
        <v>63.*.*.*</v>
      </c>
      <c r="I64" s="86" t="str">
        <f>$C$2&amp;"."&amp;ROWS($A$1:A63)&amp;"."&amp;$E$2&amp;"."&amp;$F$2</f>
        <v>*.63.*.*</v>
      </c>
      <c r="J64" s="86" t="str">
        <f>$C$2&amp;"."&amp;$D$2&amp;"."&amp;ROWS($A$1:A63)&amp;"."&amp;$F$2</f>
        <v>*.*.63.*</v>
      </c>
      <c r="K64" s="86" t="str">
        <f>$C$2&amp;"."&amp;$D$2&amp;"."&amp;$E$2&amp;"."&amp;ROWS($A$1:A63)</f>
        <v>*.*.*.63</v>
      </c>
    </row>
    <row r="65" spans="8:11" x14ac:dyDescent="0.2">
      <c r="H65" s="86" t="str">
        <f>ROWS($A$1:A64)&amp;"."&amp;$D$2&amp;"."&amp;$E$2&amp;"."&amp;$F$2</f>
        <v>64.*.*.*</v>
      </c>
      <c r="I65" s="86" t="str">
        <f>$C$2&amp;"."&amp;ROWS($A$1:A64)&amp;"."&amp;$E$2&amp;"."&amp;$F$2</f>
        <v>*.64.*.*</v>
      </c>
      <c r="J65" s="86" t="str">
        <f>$C$2&amp;"."&amp;$D$2&amp;"."&amp;ROWS($A$1:A64)&amp;"."&amp;$F$2</f>
        <v>*.*.64.*</v>
      </c>
      <c r="K65" s="86" t="str">
        <f>$C$2&amp;"."&amp;$D$2&amp;"."&amp;$E$2&amp;"."&amp;ROWS($A$1:A64)</f>
        <v>*.*.*.64</v>
      </c>
    </row>
    <row r="66" spans="8:11" x14ac:dyDescent="0.2">
      <c r="H66" s="86" t="str">
        <f>ROWS($A$1:A65)&amp;"."&amp;$D$2&amp;"."&amp;$E$2&amp;"."&amp;$F$2</f>
        <v>65.*.*.*</v>
      </c>
      <c r="I66" s="86" t="str">
        <f>$C$2&amp;"."&amp;ROWS($A$1:A65)&amp;"."&amp;$E$2&amp;"."&amp;$F$2</f>
        <v>*.65.*.*</v>
      </c>
      <c r="J66" s="86" t="str">
        <f>$C$2&amp;"."&amp;$D$2&amp;"."&amp;ROWS($A$1:A65)&amp;"."&amp;$F$2</f>
        <v>*.*.65.*</v>
      </c>
      <c r="K66" s="86" t="str">
        <f>$C$2&amp;"."&amp;$D$2&amp;"."&amp;$E$2&amp;"."&amp;ROWS($A$1:A65)</f>
        <v>*.*.*.65</v>
      </c>
    </row>
    <row r="67" spans="8:11" x14ac:dyDescent="0.2">
      <c r="H67" s="86" t="str">
        <f>ROWS($A$1:A66)&amp;"."&amp;$D$2&amp;"."&amp;$E$2&amp;"."&amp;$F$2</f>
        <v>66.*.*.*</v>
      </c>
      <c r="I67" s="86" t="str">
        <f>$C$2&amp;"."&amp;ROWS($A$1:A66)&amp;"."&amp;$E$2&amp;"."&amp;$F$2</f>
        <v>*.66.*.*</v>
      </c>
      <c r="J67" s="86" t="str">
        <f>$C$2&amp;"."&amp;$D$2&amp;"."&amp;ROWS($A$1:A66)&amp;"."&amp;$F$2</f>
        <v>*.*.66.*</v>
      </c>
      <c r="K67" s="86" t="str">
        <f>$C$2&amp;"."&amp;$D$2&amp;"."&amp;$E$2&amp;"."&amp;ROWS($A$1:A66)</f>
        <v>*.*.*.66</v>
      </c>
    </row>
    <row r="68" spans="8:11" x14ac:dyDescent="0.2">
      <c r="H68" s="86" t="str">
        <f>ROWS($A$1:A67)&amp;"."&amp;$D$2&amp;"."&amp;$E$2&amp;"."&amp;$F$2</f>
        <v>67.*.*.*</v>
      </c>
      <c r="I68" s="86" t="str">
        <f>$C$2&amp;"."&amp;ROWS($A$1:A67)&amp;"."&amp;$E$2&amp;"."&amp;$F$2</f>
        <v>*.67.*.*</v>
      </c>
      <c r="J68" s="86" t="str">
        <f>$C$2&amp;"."&amp;$D$2&amp;"."&amp;ROWS($A$1:A67)&amp;"."&amp;$F$2</f>
        <v>*.*.67.*</v>
      </c>
      <c r="K68" s="86" t="str">
        <f>$C$2&amp;"."&amp;$D$2&amp;"."&amp;$E$2&amp;"."&amp;ROWS($A$1:A67)</f>
        <v>*.*.*.67</v>
      </c>
    </row>
    <row r="69" spans="8:11" x14ac:dyDescent="0.2">
      <c r="H69" s="86" t="str">
        <f>ROWS($A$1:A68)&amp;"."&amp;$D$2&amp;"."&amp;$E$2&amp;"."&amp;$F$2</f>
        <v>68.*.*.*</v>
      </c>
      <c r="I69" s="86" t="str">
        <f>$C$2&amp;"."&amp;ROWS($A$1:A68)&amp;"."&amp;$E$2&amp;"."&amp;$F$2</f>
        <v>*.68.*.*</v>
      </c>
      <c r="J69" s="86" t="str">
        <f>$C$2&amp;"."&amp;$D$2&amp;"."&amp;ROWS($A$1:A68)&amp;"."&amp;$F$2</f>
        <v>*.*.68.*</v>
      </c>
      <c r="K69" s="86" t="str">
        <f>$C$2&amp;"."&amp;$D$2&amp;"."&amp;$E$2&amp;"."&amp;ROWS($A$1:A68)</f>
        <v>*.*.*.68</v>
      </c>
    </row>
    <row r="70" spans="8:11" x14ac:dyDescent="0.2">
      <c r="H70" s="86" t="str">
        <f>ROWS($A$1:A69)&amp;"."&amp;$D$2&amp;"."&amp;$E$2&amp;"."&amp;$F$2</f>
        <v>69.*.*.*</v>
      </c>
      <c r="I70" s="86" t="str">
        <f>$C$2&amp;"."&amp;ROWS($A$1:A69)&amp;"."&amp;$E$2&amp;"."&amp;$F$2</f>
        <v>*.69.*.*</v>
      </c>
      <c r="J70" s="86" t="str">
        <f>$C$2&amp;"."&amp;$D$2&amp;"."&amp;ROWS($A$1:A69)&amp;"."&amp;$F$2</f>
        <v>*.*.69.*</v>
      </c>
      <c r="K70" s="86" t="str">
        <f>$C$2&amp;"."&amp;$D$2&amp;"."&amp;$E$2&amp;"."&amp;ROWS($A$1:A69)</f>
        <v>*.*.*.69</v>
      </c>
    </row>
    <row r="71" spans="8:11" x14ac:dyDescent="0.2">
      <c r="H71" s="86" t="str">
        <f>ROWS($A$1:A70)&amp;"."&amp;$D$2&amp;"."&amp;$E$2&amp;"."&amp;$F$2</f>
        <v>70.*.*.*</v>
      </c>
      <c r="I71" s="86" t="str">
        <f>$C$2&amp;"."&amp;ROWS($A$1:A70)&amp;"."&amp;$E$2&amp;"."&amp;$F$2</f>
        <v>*.70.*.*</v>
      </c>
      <c r="J71" s="86" t="str">
        <f>$C$2&amp;"."&amp;$D$2&amp;"."&amp;ROWS($A$1:A70)&amp;"."&amp;$F$2</f>
        <v>*.*.70.*</v>
      </c>
      <c r="K71" s="86" t="str">
        <f>$C$2&amp;"."&amp;$D$2&amp;"."&amp;$E$2&amp;"."&amp;ROWS($A$1:A70)</f>
        <v>*.*.*.70</v>
      </c>
    </row>
    <row r="72" spans="8:11" x14ac:dyDescent="0.2">
      <c r="H72" s="86" t="str">
        <f>ROWS($A$1:A71)&amp;"."&amp;$D$2&amp;"."&amp;$E$2&amp;"."&amp;$F$2</f>
        <v>71.*.*.*</v>
      </c>
      <c r="I72" s="86" t="str">
        <f>$C$2&amp;"."&amp;ROWS($A$1:A71)&amp;"."&amp;$E$2&amp;"."&amp;$F$2</f>
        <v>*.71.*.*</v>
      </c>
      <c r="J72" s="86" t="str">
        <f>$C$2&amp;"."&amp;$D$2&amp;"."&amp;ROWS($A$1:A71)&amp;"."&amp;$F$2</f>
        <v>*.*.71.*</v>
      </c>
      <c r="K72" s="86" t="str">
        <f>$C$2&amp;"."&amp;$D$2&amp;"."&amp;$E$2&amp;"."&amp;ROWS($A$1:A71)</f>
        <v>*.*.*.71</v>
      </c>
    </row>
    <row r="73" spans="8:11" x14ac:dyDescent="0.2">
      <c r="H73" s="86" t="str">
        <f>ROWS($A$1:A72)&amp;"."&amp;$D$2&amp;"."&amp;$E$2&amp;"."&amp;$F$2</f>
        <v>72.*.*.*</v>
      </c>
      <c r="I73" s="86" t="str">
        <f>$C$2&amp;"."&amp;ROWS($A$1:A72)&amp;"."&amp;$E$2&amp;"."&amp;$F$2</f>
        <v>*.72.*.*</v>
      </c>
      <c r="J73" s="86" t="str">
        <f>$C$2&amp;"."&amp;$D$2&amp;"."&amp;ROWS($A$1:A72)&amp;"."&amp;$F$2</f>
        <v>*.*.72.*</v>
      </c>
      <c r="K73" s="86" t="str">
        <f>$C$2&amp;"."&amp;$D$2&amp;"."&amp;$E$2&amp;"."&amp;ROWS($A$1:A72)</f>
        <v>*.*.*.72</v>
      </c>
    </row>
    <row r="74" spans="8:11" x14ac:dyDescent="0.2">
      <c r="H74" s="86" t="str">
        <f>ROWS($A$1:A73)&amp;"."&amp;$D$2&amp;"."&amp;$E$2&amp;"."&amp;$F$2</f>
        <v>73.*.*.*</v>
      </c>
      <c r="I74" s="86" t="str">
        <f>$C$2&amp;"."&amp;ROWS($A$1:A73)&amp;"."&amp;$E$2&amp;"."&amp;$F$2</f>
        <v>*.73.*.*</v>
      </c>
      <c r="J74" s="86" t="str">
        <f>$C$2&amp;"."&amp;$D$2&amp;"."&amp;ROWS($A$1:A73)&amp;"."&amp;$F$2</f>
        <v>*.*.73.*</v>
      </c>
      <c r="K74" s="86" t="str">
        <f>$C$2&amp;"."&amp;$D$2&amp;"."&amp;$E$2&amp;"."&amp;ROWS($A$1:A73)</f>
        <v>*.*.*.73</v>
      </c>
    </row>
    <row r="75" spans="8:11" x14ac:dyDescent="0.2">
      <c r="H75" s="86" t="str">
        <f>ROWS($A$1:A74)&amp;"."&amp;$D$2&amp;"."&amp;$E$2&amp;"."&amp;$F$2</f>
        <v>74.*.*.*</v>
      </c>
      <c r="I75" s="86" t="str">
        <f>$C$2&amp;"."&amp;ROWS($A$1:A74)&amp;"."&amp;$E$2&amp;"."&amp;$F$2</f>
        <v>*.74.*.*</v>
      </c>
      <c r="J75" s="86" t="str">
        <f>$C$2&amp;"."&amp;$D$2&amp;"."&amp;ROWS($A$1:A74)&amp;"."&amp;$F$2</f>
        <v>*.*.74.*</v>
      </c>
      <c r="K75" s="86" t="str">
        <f>$C$2&amp;"."&amp;$D$2&amp;"."&amp;$E$2&amp;"."&amp;ROWS($A$1:A74)</f>
        <v>*.*.*.74</v>
      </c>
    </row>
    <row r="76" spans="8:11" x14ac:dyDescent="0.2">
      <c r="H76" s="86" t="str">
        <f>ROWS($A$1:A75)&amp;"."&amp;$D$2&amp;"."&amp;$E$2&amp;"."&amp;$F$2</f>
        <v>75.*.*.*</v>
      </c>
      <c r="I76" s="86" t="str">
        <f>$C$2&amp;"."&amp;ROWS($A$1:A75)&amp;"."&amp;$E$2&amp;"."&amp;$F$2</f>
        <v>*.75.*.*</v>
      </c>
      <c r="J76" s="86" t="str">
        <f>$C$2&amp;"."&amp;$D$2&amp;"."&amp;ROWS($A$1:A75)&amp;"."&amp;$F$2</f>
        <v>*.*.75.*</v>
      </c>
      <c r="K76" s="86" t="str">
        <f>$C$2&amp;"."&amp;$D$2&amp;"."&amp;$E$2&amp;"."&amp;ROWS($A$1:A75)</f>
        <v>*.*.*.75</v>
      </c>
    </row>
    <row r="77" spans="8:11" x14ac:dyDescent="0.2">
      <c r="H77" s="86" t="str">
        <f>ROWS($A$1:A76)&amp;"."&amp;$D$2&amp;"."&amp;$E$2&amp;"."&amp;$F$2</f>
        <v>76.*.*.*</v>
      </c>
      <c r="I77" s="86" t="str">
        <f>$C$2&amp;"."&amp;ROWS($A$1:A76)&amp;"."&amp;$E$2&amp;"."&amp;$F$2</f>
        <v>*.76.*.*</v>
      </c>
      <c r="J77" s="86" t="str">
        <f>$C$2&amp;"."&amp;$D$2&amp;"."&amp;ROWS($A$1:A76)&amp;"."&amp;$F$2</f>
        <v>*.*.76.*</v>
      </c>
      <c r="K77" s="86" t="str">
        <f>$C$2&amp;"."&amp;$D$2&amp;"."&amp;$E$2&amp;"."&amp;ROWS($A$1:A76)</f>
        <v>*.*.*.76</v>
      </c>
    </row>
    <row r="78" spans="8:11" x14ac:dyDescent="0.2">
      <c r="H78" s="86" t="str">
        <f>ROWS($A$1:A77)&amp;"."&amp;$D$2&amp;"."&amp;$E$2&amp;"."&amp;$F$2</f>
        <v>77.*.*.*</v>
      </c>
      <c r="I78" s="86" t="str">
        <f>$C$2&amp;"."&amp;ROWS($A$1:A77)&amp;"."&amp;$E$2&amp;"."&amp;$F$2</f>
        <v>*.77.*.*</v>
      </c>
      <c r="J78" s="86" t="str">
        <f>$C$2&amp;"."&amp;$D$2&amp;"."&amp;ROWS($A$1:A77)&amp;"."&amp;$F$2</f>
        <v>*.*.77.*</v>
      </c>
      <c r="K78" s="86" t="str">
        <f>$C$2&amp;"."&amp;$D$2&amp;"."&amp;$E$2&amp;"."&amp;ROWS($A$1:A77)</f>
        <v>*.*.*.77</v>
      </c>
    </row>
    <row r="79" spans="8:11" x14ac:dyDescent="0.2">
      <c r="H79" s="86" t="str">
        <f>ROWS($A$1:A78)&amp;"."&amp;$D$2&amp;"."&amp;$E$2&amp;"."&amp;$F$2</f>
        <v>78.*.*.*</v>
      </c>
      <c r="I79" s="86" t="str">
        <f>$C$2&amp;"."&amp;ROWS($A$1:A78)&amp;"."&amp;$E$2&amp;"."&amp;$F$2</f>
        <v>*.78.*.*</v>
      </c>
      <c r="J79" s="86" t="str">
        <f>$C$2&amp;"."&amp;$D$2&amp;"."&amp;ROWS($A$1:A78)&amp;"."&amp;$F$2</f>
        <v>*.*.78.*</v>
      </c>
      <c r="K79" s="86" t="str">
        <f>$C$2&amp;"."&amp;$D$2&amp;"."&amp;$E$2&amp;"."&amp;ROWS($A$1:A78)</f>
        <v>*.*.*.78</v>
      </c>
    </row>
    <row r="80" spans="8:11" x14ac:dyDescent="0.2">
      <c r="H80" s="86" t="str">
        <f>ROWS($A$1:A79)&amp;"."&amp;$D$2&amp;"."&amp;$E$2&amp;"."&amp;$F$2</f>
        <v>79.*.*.*</v>
      </c>
      <c r="I80" s="86" t="str">
        <f>$C$2&amp;"."&amp;ROWS($A$1:A79)&amp;"."&amp;$E$2&amp;"."&amp;$F$2</f>
        <v>*.79.*.*</v>
      </c>
      <c r="J80" s="86" t="str">
        <f>$C$2&amp;"."&amp;$D$2&amp;"."&amp;ROWS($A$1:A79)&amp;"."&amp;$F$2</f>
        <v>*.*.79.*</v>
      </c>
      <c r="K80" s="86" t="str">
        <f>$C$2&amp;"."&amp;$D$2&amp;"."&amp;$E$2&amp;"."&amp;ROWS($A$1:A79)</f>
        <v>*.*.*.79</v>
      </c>
    </row>
    <row r="81" spans="8:11" x14ac:dyDescent="0.2">
      <c r="H81" s="86" t="str">
        <f>ROWS($A$1:A80)&amp;"."&amp;$D$2&amp;"."&amp;$E$2&amp;"."&amp;$F$2</f>
        <v>80.*.*.*</v>
      </c>
      <c r="I81" s="86" t="str">
        <f>$C$2&amp;"."&amp;ROWS($A$1:A80)&amp;"."&amp;$E$2&amp;"."&amp;$F$2</f>
        <v>*.80.*.*</v>
      </c>
      <c r="J81" s="86" t="str">
        <f>$C$2&amp;"."&amp;$D$2&amp;"."&amp;ROWS($A$1:A80)&amp;"."&amp;$F$2</f>
        <v>*.*.80.*</v>
      </c>
      <c r="K81" s="86" t="str">
        <f>$C$2&amp;"."&amp;$D$2&amp;"."&amp;$E$2&amp;"."&amp;ROWS($A$1:A80)</f>
        <v>*.*.*.80</v>
      </c>
    </row>
    <row r="82" spans="8:11" x14ac:dyDescent="0.2">
      <c r="H82" s="86" t="str">
        <f>ROWS($A$1:A81)&amp;"."&amp;$D$2&amp;"."&amp;$E$2&amp;"."&amp;$F$2</f>
        <v>81.*.*.*</v>
      </c>
      <c r="I82" s="86" t="str">
        <f>$C$2&amp;"."&amp;ROWS($A$1:A81)&amp;"."&amp;$E$2&amp;"."&amp;$F$2</f>
        <v>*.81.*.*</v>
      </c>
      <c r="J82" s="86" t="str">
        <f>$C$2&amp;"."&amp;$D$2&amp;"."&amp;ROWS($A$1:A81)&amp;"."&amp;$F$2</f>
        <v>*.*.81.*</v>
      </c>
      <c r="K82" s="86" t="str">
        <f>$C$2&amp;"."&amp;$D$2&amp;"."&amp;$E$2&amp;"."&amp;ROWS($A$1:A81)</f>
        <v>*.*.*.81</v>
      </c>
    </row>
    <row r="83" spans="8:11" x14ac:dyDescent="0.2">
      <c r="H83" s="86" t="str">
        <f>ROWS($A$1:A82)&amp;"."&amp;$D$2&amp;"."&amp;$E$2&amp;"."&amp;$F$2</f>
        <v>82.*.*.*</v>
      </c>
      <c r="I83" s="86" t="str">
        <f>$C$2&amp;"."&amp;ROWS($A$1:A82)&amp;"."&amp;$E$2&amp;"."&amp;$F$2</f>
        <v>*.82.*.*</v>
      </c>
      <c r="J83" s="86" t="str">
        <f>$C$2&amp;"."&amp;$D$2&amp;"."&amp;ROWS($A$1:A82)&amp;"."&amp;$F$2</f>
        <v>*.*.82.*</v>
      </c>
      <c r="K83" s="86" t="str">
        <f>$C$2&amp;"."&amp;$D$2&amp;"."&amp;$E$2&amp;"."&amp;ROWS($A$1:A82)</f>
        <v>*.*.*.82</v>
      </c>
    </row>
    <row r="84" spans="8:11" x14ac:dyDescent="0.2">
      <c r="H84" s="86" t="str">
        <f>ROWS($A$1:A83)&amp;"."&amp;$D$2&amp;"."&amp;$E$2&amp;"."&amp;$F$2</f>
        <v>83.*.*.*</v>
      </c>
      <c r="I84" s="86" t="str">
        <f>$C$2&amp;"."&amp;ROWS($A$1:A83)&amp;"."&amp;$E$2&amp;"."&amp;$F$2</f>
        <v>*.83.*.*</v>
      </c>
      <c r="J84" s="86" t="str">
        <f>$C$2&amp;"."&amp;$D$2&amp;"."&amp;ROWS($A$1:A83)&amp;"."&amp;$F$2</f>
        <v>*.*.83.*</v>
      </c>
      <c r="K84" s="86" t="str">
        <f>$C$2&amp;"."&amp;$D$2&amp;"."&amp;$E$2&amp;"."&amp;ROWS($A$1:A83)</f>
        <v>*.*.*.83</v>
      </c>
    </row>
    <row r="85" spans="8:11" x14ac:dyDescent="0.2">
      <c r="H85" s="86" t="str">
        <f>ROWS($A$1:A84)&amp;"."&amp;$D$2&amp;"."&amp;$E$2&amp;"."&amp;$F$2</f>
        <v>84.*.*.*</v>
      </c>
      <c r="I85" s="86" t="str">
        <f>$C$2&amp;"."&amp;ROWS($A$1:A84)&amp;"."&amp;$E$2&amp;"."&amp;$F$2</f>
        <v>*.84.*.*</v>
      </c>
      <c r="J85" s="86" t="str">
        <f>$C$2&amp;"."&amp;$D$2&amp;"."&amp;ROWS($A$1:A84)&amp;"."&amp;$F$2</f>
        <v>*.*.84.*</v>
      </c>
      <c r="K85" s="86" t="str">
        <f>$C$2&amp;"."&amp;$D$2&amp;"."&amp;$E$2&amp;"."&amp;ROWS($A$1:A84)</f>
        <v>*.*.*.84</v>
      </c>
    </row>
    <row r="86" spans="8:11" x14ac:dyDescent="0.2">
      <c r="H86" s="86" t="str">
        <f>ROWS($A$1:A85)&amp;"."&amp;$D$2&amp;"."&amp;$E$2&amp;"."&amp;$F$2</f>
        <v>85.*.*.*</v>
      </c>
      <c r="I86" s="86" t="str">
        <f>$C$2&amp;"."&amp;ROWS($A$1:A85)&amp;"."&amp;$E$2&amp;"."&amp;$F$2</f>
        <v>*.85.*.*</v>
      </c>
      <c r="J86" s="86" t="str">
        <f>$C$2&amp;"."&amp;$D$2&amp;"."&amp;ROWS($A$1:A85)&amp;"."&amp;$F$2</f>
        <v>*.*.85.*</v>
      </c>
      <c r="K86" s="86" t="str">
        <f>$C$2&amp;"."&amp;$D$2&amp;"."&amp;$E$2&amp;"."&amp;ROWS($A$1:A85)</f>
        <v>*.*.*.85</v>
      </c>
    </row>
    <row r="87" spans="8:11" x14ac:dyDescent="0.2">
      <c r="H87" s="86" t="str">
        <f>ROWS($A$1:A86)&amp;"."&amp;$D$2&amp;"."&amp;$E$2&amp;"."&amp;$F$2</f>
        <v>86.*.*.*</v>
      </c>
      <c r="I87" s="86" t="str">
        <f>$C$2&amp;"."&amp;ROWS($A$1:A86)&amp;"."&amp;$E$2&amp;"."&amp;$F$2</f>
        <v>*.86.*.*</v>
      </c>
      <c r="J87" s="86" t="str">
        <f>$C$2&amp;"."&amp;$D$2&amp;"."&amp;ROWS($A$1:A86)&amp;"."&amp;$F$2</f>
        <v>*.*.86.*</v>
      </c>
      <c r="K87" s="86" t="str">
        <f>$C$2&amp;"."&amp;$D$2&amp;"."&amp;$E$2&amp;"."&amp;ROWS($A$1:A86)</f>
        <v>*.*.*.86</v>
      </c>
    </row>
    <row r="88" spans="8:11" x14ac:dyDescent="0.2">
      <c r="H88" s="86" t="str">
        <f>ROWS($A$1:A87)&amp;"."&amp;$D$2&amp;"."&amp;$E$2&amp;"."&amp;$F$2</f>
        <v>87.*.*.*</v>
      </c>
      <c r="I88" s="86" t="str">
        <f>$C$2&amp;"."&amp;ROWS($A$1:A87)&amp;"."&amp;$E$2&amp;"."&amp;$F$2</f>
        <v>*.87.*.*</v>
      </c>
      <c r="J88" s="86" t="str">
        <f>$C$2&amp;"."&amp;$D$2&amp;"."&amp;ROWS($A$1:A87)&amp;"."&amp;$F$2</f>
        <v>*.*.87.*</v>
      </c>
      <c r="K88" s="86" t="str">
        <f>$C$2&amp;"."&amp;$D$2&amp;"."&amp;$E$2&amp;"."&amp;ROWS($A$1:A87)</f>
        <v>*.*.*.87</v>
      </c>
    </row>
    <row r="89" spans="8:11" x14ac:dyDescent="0.2">
      <c r="H89" s="86" t="str">
        <f>ROWS($A$1:A88)&amp;"."&amp;$D$2&amp;"."&amp;$E$2&amp;"."&amp;$F$2</f>
        <v>88.*.*.*</v>
      </c>
      <c r="I89" s="86" t="str">
        <f>$C$2&amp;"."&amp;ROWS($A$1:A88)&amp;"."&amp;$E$2&amp;"."&amp;$F$2</f>
        <v>*.88.*.*</v>
      </c>
      <c r="J89" s="86" t="str">
        <f>$C$2&amp;"."&amp;$D$2&amp;"."&amp;ROWS($A$1:A88)&amp;"."&amp;$F$2</f>
        <v>*.*.88.*</v>
      </c>
      <c r="K89" s="86" t="str">
        <f>$C$2&amp;"."&amp;$D$2&amp;"."&amp;$E$2&amp;"."&amp;ROWS($A$1:A88)</f>
        <v>*.*.*.88</v>
      </c>
    </row>
    <row r="90" spans="8:11" x14ac:dyDescent="0.2">
      <c r="H90" s="86" t="str">
        <f>ROWS($A$1:A89)&amp;"."&amp;$D$2&amp;"."&amp;$E$2&amp;"."&amp;$F$2</f>
        <v>89.*.*.*</v>
      </c>
      <c r="I90" s="86" t="str">
        <f>$C$2&amp;"."&amp;ROWS($A$1:A89)&amp;"."&amp;$E$2&amp;"."&amp;$F$2</f>
        <v>*.89.*.*</v>
      </c>
      <c r="J90" s="86" t="str">
        <f>$C$2&amp;"."&amp;$D$2&amp;"."&amp;ROWS($A$1:A89)&amp;"."&amp;$F$2</f>
        <v>*.*.89.*</v>
      </c>
      <c r="K90" s="86" t="str">
        <f>$C$2&amp;"."&amp;$D$2&amp;"."&amp;$E$2&amp;"."&amp;ROWS($A$1:A89)</f>
        <v>*.*.*.89</v>
      </c>
    </row>
    <row r="91" spans="8:11" x14ac:dyDescent="0.2">
      <c r="H91" s="86" t="str">
        <f>ROWS($A$1:A90)&amp;"."&amp;$D$2&amp;"."&amp;$E$2&amp;"."&amp;$F$2</f>
        <v>90.*.*.*</v>
      </c>
      <c r="I91" s="86" t="str">
        <f>$C$2&amp;"."&amp;ROWS($A$1:A90)&amp;"."&amp;$E$2&amp;"."&amp;$F$2</f>
        <v>*.90.*.*</v>
      </c>
      <c r="J91" s="86" t="str">
        <f>$C$2&amp;"."&amp;$D$2&amp;"."&amp;ROWS($A$1:A90)&amp;"."&amp;$F$2</f>
        <v>*.*.90.*</v>
      </c>
      <c r="K91" s="86" t="str">
        <f>$C$2&amp;"."&amp;$D$2&amp;"."&amp;$E$2&amp;"."&amp;ROWS($A$1:A90)</f>
        <v>*.*.*.90</v>
      </c>
    </row>
    <row r="92" spans="8:11" x14ac:dyDescent="0.2">
      <c r="H92" s="86" t="str">
        <f>ROWS($A$1:A91)&amp;"."&amp;$D$2&amp;"."&amp;$E$2&amp;"."&amp;$F$2</f>
        <v>91.*.*.*</v>
      </c>
      <c r="I92" s="86" t="str">
        <f>$C$2&amp;"."&amp;ROWS($A$1:A91)&amp;"."&amp;$E$2&amp;"."&amp;$F$2</f>
        <v>*.91.*.*</v>
      </c>
      <c r="J92" s="86" t="str">
        <f>$C$2&amp;"."&amp;$D$2&amp;"."&amp;ROWS($A$1:A91)&amp;"."&amp;$F$2</f>
        <v>*.*.91.*</v>
      </c>
      <c r="K92" s="86" t="str">
        <f>$C$2&amp;"."&amp;$D$2&amp;"."&amp;$E$2&amp;"."&amp;ROWS($A$1:A91)</f>
        <v>*.*.*.91</v>
      </c>
    </row>
    <row r="93" spans="8:11" x14ac:dyDescent="0.2">
      <c r="H93" s="86" t="str">
        <f>ROWS($A$1:A92)&amp;"."&amp;$D$2&amp;"."&amp;$E$2&amp;"."&amp;$F$2</f>
        <v>92.*.*.*</v>
      </c>
      <c r="I93" s="86" t="str">
        <f>$C$2&amp;"."&amp;ROWS($A$1:A92)&amp;"."&amp;$E$2&amp;"."&amp;$F$2</f>
        <v>*.92.*.*</v>
      </c>
      <c r="J93" s="86" t="str">
        <f>$C$2&amp;"."&amp;$D$2&amp;"."&amp;ROWS($A$1:A92)&amp;"."&amp;$F$2</f>
        <v>*.*.92.*</v>
      </c>
      <c r="K93" s="86" t="str">
        <f>$C$2&amp;"."&amp;$D$2&amp;"."&amp;$E$2&amp;"."&amp;ROWS($A$1:A92)</f>
        <v>*.*.*.92</v>
      </c>
    </row>
    <row r="94" spans="8:11" x14ac:dyDescent="0.2">
      <c r="H94" s="86" t="str">
        <f>ROWS($A$1:A93)&amp;"."&amp;$D$2&amp;"."&amp;$E$2&amp;"."&amp;$F$2</f>
        <v>93.*.*.*</v>
      </c>
      <c r="I94" s="86" t="str">
        <f>$C$2&amp;"."&amp;ROWS($A$1:A93)&amp;"."&amp;$E$2&amp;"."&amp;$F$2</f>
        <v>*.93.*.*</v>
      </c>
      <c r="J94" s="86" t="str">
        <f>$C$2&amp;"."&amp;$D$2&amp;"."&amp;ROWS($A$1:A93)&amp;"."&amp;$F$2</f>
        <v>*.*.93.*</v>
      </c>
      <c r="K94" s="86" t="str">
        <f>$C$2&amp;"."&amp;$D$2&amp;"."&amp;$E$2&amp;"."&amp;ROWS($A$1:A93)</f>
        <v>*.*.*.93</v>
      </c>
    </row>
    <row r="95" spans="8:11" x14ac:dyDescent="0.2">
      <c r="H95" s="86" t="str">
        <f>ROWS($A$1:A94)&amp;"."&amp;$D$2&amp;"."&amp;$E$2&amp;"."&amp;$F$2</f>
        <v>94.*.*.*</v>
      </c>
      <c r="I95" s="86" t="str">
        <f>$C$2&amp;"."&amp;ROWS($A$1:A94)&amp;"."&amp;$E$2&amp;"."&amp;$F$2</f>
        <v>*.94.*.*</v>
      </c>
      <c r="J95" s="86" t="str">
        <f>$C$2&amp;"."&amp;$D$2&amp;"."&amp;ROWS($A$1:A94)&amp;"."&amp;$F$2</f>
        <v>*.*.94.*</v>
      </c>
      <c r="K95" s="86" t="str">
        <f>$C$2&amp;"."&amp;$D$2&amp;"."&amp;$E$2&amp;"."&amp;ROWS($A$1:A94)</f>
        <v>*.*.*.94</v>
      </c>
    </row>
    <row r="96" spans="8:11" x14ac:dyDescent="0.2">
      <c r="H96" s="86" t="str">
        <f>ROWS($A$1:A95)&amp;"."&amp;$D$2&amp;"."&amp;$E$2&amp;"."&amp;$F$2</f>
        <v>95.*.*.*</v>
      </c>
      <c r="I96" s="86" t="str">
        <f>$C$2&amp;"."&amp;ROWS($A$1:A95)&amp;"."&amp;$E$2&amp;"."&amp;$F$2</f>
        <v>*.95.*.*</v>
      </c>
      <c r="J96" s="86" t="str">
        <f>$C$2&amp;"."&amp;$D$2&amp;"."&amp;ROWS($A$1:A95)&amp;"."&amp;$F$2</f>
        <v>*.*.95.*</v>
      </c>
      <c r="K96" s="86" t="str">
        <f>$C$2&amp;"."&amp;$D$2&amp;"."&amp;$E$2&amp;"."&amp;ROWS($A$1:A95)</f>
        <v>*.*.*.95</v>
      </c>
    </row>
    <row r="97" spans="8:11" x14ac:dyDescent="0.2">
      <c r="H97" s="86" t="str">
        <f>ROWS($A$1:A96)&amp;"."&amp;$D$2&amp;"."&amp;$E$2&amp;"."&amp;$F$2</f>
        <v>96.*.*.*</v>
      </c>
      <c r="I97" s="86" t="str">
        <f>$C$2&amp;"."&amp;ROWS($A$1:A96)&amp;"."&amp;$E$2&amp;"."&amp;$F$2</f>
        <v>*.96.*.*</v>
      </c>
      <c r="J97" s="86" t="str">
        <f>$C$2&amp;"."&amp;$D$2&amp;"."&amp;ROWS($A$1:A96)&amp;"."&amp;$F$2</f>
        <v>*.*.96.*</v>
      </c>
      <c r="K97" s="86" t="str">
        <f>$C$2&amp;"."&amp;$D$2&amp;"."&amp;$E$2&amp;"."&amp;ROWS($A$1:A96)</f>
        <v>*.*.*.96</v>
      </c>
    </row>
    <row r="98" spans="8:11" x14ac:dyDescent="0.2">
      <c r="H98" s="86" t="str">
        <f>ROWS($A$1:A97)&amp;"."&amp;$D$2&amp;"."&amp;$E$2&amp;"."&amp;$F$2</f>
        <v>97.*.*.*</v>
      </c>
      <c r="I98" s="86" t="str">
        <f>$C$2&amp;"."&amp;ROWS($A$1:A97)&amp;"."&amp;$E$2&amp;"."&amp;$F$2</f>
        <v>*.97.*.*</v>
      </c>
      <c r="J98" s="86" t="str">
        <f>$C$2&amp;"."&amp;$D$2&amp;"."&amp;ROWS($A$1:A97)&amp;"."&amp;$F$2</f>
        <v>*.*.97.*</v>
      </c>
      <c r="K98" s="86" t="str">
        <f>$C$2&amp;"."&amp;$D$2&amp;"."&amp;$E$2&amp;"."&amp;ROWS($A$1:A97)</f>
        <v>*.*.*.97</v>
      </c>
    </row>
    <row r="99" spans="8:11" x14ac:dyDescent="0.2">
      <c r="H99" s="86" t="str">
        <f>ROWS($A$1:A98)&amp;"."&amp;$D$2&amp;"."&amp;$E$2&amp;"."&amp;$F$2</f>
        <v>98.*.*.*</v>
      </c>
      <c r="I99" s="86" t="str">
        <f>$C$2&amp;"."&amp;ROWS($A$1:A98)&amp;"."&amp;$E$2&amp;"."&amp;$F$2</f>
        <v>*.98.*.*</v>
      </c>
      <c r="J99" s="86" t="str">
        <f>$C$2&amp;"."&amp;$D$2&amp;"."&amp;ROWS($A$1:A98)&amp;"."&amp;$F$2</f>
        <v>*.*.98.*</v>
      </c>
      <c r="K99" s="86" t="str">
        <f>$C$2&amp;"."&amp;$D$2&amp;"."&amp;$E$2&amp;"."&amp;ROWS($A$1:A98)</f>
        <v>*.*.*.98</v>
      </c>
    </row>
    <row r="100" spans="8:11" x14ac:dyDescent="0.2">
      <c r="H100" s="86" t="str">
        <f>ROWS($A$1:A99)&amp;"."&amp;$D$2&amp;"."&amp;$E$2&amp;"."&amp;$F$2</f>
        <v>99.*.*.*</v>
      </c>
      <c r="I100" s="86" t="str">
        <f>$C$2&amp;"."&amp;ROWS($A$1:A99)&amp;"."&amp;$E$2&amp;"."&amp;$F$2</f>
        <v>*.99.*.*</v>
      </c>
      <c r="J100" s="86" t="str">
        <f>$C$2&amp;"."&amp;$D$2&amp;"."&amp;ROWS($A$1:A99)&amp;"."&amp;$F$2</f>
        <v>*.*.99.*</v>
      </c>
      <c r="K100" s="86" t="str">
        <f>$C$2&amp;"."&amp;$D$2&amp;"."&amp;$E$2&amp;"."&amp;ROWS($A$1:A99)</f>
        <v>*.*.*.99</v>
      </c>
    </row>
    <row r="101" spans="8:11" x14ac:dyDescent="0.2">
      <c r="H101" s="86" t="str">
        <f>ROWS($A$1:A100)&amp;"."&amp;$D$2&amp;"."&amp;$E$2&amp;"."&amp;$F$2</f>
        <v>100.*.*.*</v>
      </c>
      <c r="I101" s="86" t="str">
        <f>$C$2&amp;"."&amp;ROWS($A$1:A100)&amp;"."&amp;$E$2&amp;"."&amp;$F$2</f>
        <v>*.100.*.*</v>
      </c>
      <c r="J101" s="86" t="str">
        <f>$C$2&amp;"."&amp;$D$2&amp;"."&amp;ROWS($A$1:A100)&amp;"."&amp;$F$2</f>
        <v>*.*.100.*</v>
      </c>
      <c r="K101" s="86" t="str">
        <f>$C$2&amp;"."&amp;$D$2&amp;"."&amp;$E$2&amp;"."&amp;ROWS($A$1:A100)</f>
        <v>*.*.*.100</v>
      </c>
    </row>
    <row r="102" spans="8:11" x14ac:dyDescent="0.2">
      <c r="H102" s="86" t="str">
        <f>ROWS($A$1:A101)&amp;"."&amp;$D$2&amp;"."&amp;$E$2&amp;"."&amp;$F$2</f>
        <v>101.*.*.*</v>
      </c>
      <c r="I102" s="86" t="str">
        <f>$C$2&amp;"."&amp;ROWS($A$1:A101)&amp;"."&amp;$E$2&amp;"."&amp;$F$2</f>
        <v>*.101.*.*</v>
      </c>
      <c r="J102" s="86" t="str">
        <f>$C$2&amp;"."&amp;$D$2&amp;"."&amp;ROWS($A$1:A101)&amp;"."&amp;$F$2</f>
        <v>*.*.101.*</v>
      </c>
      <c r="K102" s="86" t="str">
        <f>$C$2&amp;"."&amp;$D$2&amp;"."&amp;$E$2&amp;"."&amp;ROWS($A$1:A101)</f>
        <v>*.*.*.101</v>
      </c>
    </row>
    <row r="103" spans="8:11" x14ac:dyDescent="0.2">
      <c r="H103" s="86" t="str">
        <f>ROWS($A$1:A102)&amp;"."&amp;$D$2&amp;"."&amp;$E$2&amp;"."&amp;$F$2</f>
        <v>102.*.*.*</v>
      </c>
      <c r="I103" s="86" t="str">
        <f>$C$2&amp;"."&amp;ROWS($A$1:A102)&amp;"."&amp;$E$2&amp;"."&amp;$F$2</f>
        <v>*.102.*.*</v>
      </c>
      <c r="J103" s="86" t="str">
        <f>$C$2&amp;"."&amp;$D$2&amp;"."&amp;ROWS($A$1:A102)&amp;"."&amp;$F$2</f>
        <v>*.*.102.*</v>
      </c>
      <c r="K103" s="86" t="str">
        <f>$C$2&amp;"."&amp;$D$2&amp;"."&amp;$E$2&amp;"."&amp;ROWS($A$1:A102)</f>
        <v>*.*.*.102</v>
      </c>
    </row>
    <row r="104" spans="8:11" x14ac:dyDescent="0.2">
      <c r="H104" s="86" t="str">
        <f>ROWS($A$1:A103)&amp;"."&amp;$D$2&amp;"."&amp;$E$2&amp;"."&amp;$F$2</f>
        <v>103.*.*.*</v>
      </c>
      <c r="I104" s="86" t="str">
        <f>$C$2&amp;"."&amp;ROWS($A$1:A103)&amp;"."&amp;$E$2&amp;"."&amp;$F$2</f>
        <v>*.103.*.*</v>
      </c>
      <c r="J104" s="86" t="str">
        <f>$C$2&amp;"."&amp;$D$2&amp;"."&amp;ROWS($A$1:A103)&amp;"."&amp;$F$2</f>
        <v>*.*.103.*</v>
      </c>
      <c r="K104" s="86" t="str">
        <f>$C$2&amp;"."&amp;$D$2&amp;"."&amp;$E$2&amp;"."&amp;ROWS($A$1:A103)</f>
        <v>*.*.*.103</v>
      </c>
    </row>
    <row r="105" spans="8:11" x14ac:dyDescent="0.2">
      <c r="H105" s="86" t="str">
        <f>ROWS($A$1:A104)&amp;"."&amp;$D$2&amp;"."&amp;$E$2&amp;"."&amp;$F$2</f>
        <v>104.*.*.*</v>
      </c>
      <c r="I105" s="86" t="str">
        <f>$C$2&amp;"."&amp;ROWS($A$1:A104)&amp;"."&amp;$E$2&amp;"."&amp;$F$2</f>
        <v>*.104.*.*</v>
      </c>
      <c r="J105" s="86" t="str">
        <f>$C$2&amp;"."&amp;$D$2&amp;"."&amp;ROWS($A$1:A104)&amp;"."&amp;$F$2</f>
        <v>*.*.104.*</v>
      </c>
      <c r="K105" s="86" t="str">
        <f>$C$2&amp;"."&amp;$D$2&amp;"."&amp;$E$2&amp;"."&amp;ROWS($A$1:A104)</f>
        <v>*.*.*.104</v>
      </c>
    </row>
    <row r="106" spans="8:11" x14ac:dyDescent="0.2">
      <c r="H106" s="86" t="str">
        <f>ROWS($A$1:A105)&amp;"."&amp;$D$2&amp;"."&amp;$E$2&amp;"."&amp;$F$2</f>
        <v>105.*.*.*</v>
      </c>
      <c r="I106" s="86" t="str">
        <f>$C$2&amp;"."&amp;ROWS($A$1:A105)&amp;"."&amp;$E$2&amp;"."&amp;$F$2</f>
        <v>*.105.*.*</v>
      </c>
      <c r="J106" s="86" t="str">
        <f>$C$2&amp;"."&amp;$D$2&amp;"."&amp;ROWS($A$1:A105)&amp;"."&amp;$F$2</f>
        <v>*.*.105.*</v>
      </c>
      <c r="K106" s="86" t="str">
        <f>$C$2&amp;"."&amp;$D$2&amp;"."&amp;$E$2&amp;"."&amp;ROWS($A$1:A105)</f>
        <v>*.*.*.105</v>
      </c>
    </row>
    <row r="107" spans="8:11" x14ac:dyDescent="0.2">
      <c r="H107" s="86" t="str">
        <f>ROWS($A$1:A106)&amp;"."&amp;$D$2&amp;"."&amp;$E$2&amp;"."&amp;$F$2</f>
        <v>106.*.*.*</v>
      </c>
      <c r="I107" s="86" t="str">
        <f>$C$2&amp;"."&amp;ROWS($A$1:A106)&amp;"."&amp;$E$2&amp;"."&amp;$F$2</f>
        <v>*.106.*.*</v>
      </c>
      <c r="J107" s="86" t="str">
        <f>$C$2&amp;"."&amp;$D$2&amp;"."&amp;ROWS($A$1:A106)&amp;"."&amp;$F$2</f>
        <v>*.*.106.*</v>
      </c>
      <c r="K107" s="86" t="str">
        <f>$C$2&amp;"."&amp;$D$2&amp;"."&amp;$E$2&amp;"."&amp;ROWS($A$1:A106)</f>
        <v>*.*.*.106</v>
      </c>
    </row>
    <row r="108" spans="8:11" x14ac:dyDescent="0.2">
      <c r="H108" s="86" t="str">
        <f>ROWS($A$1:A107)&amp;"."&amp;$D$2&amp;"."&amp;$E$2&amp;"."&amp;$F$2</f>
        <v>107.*.*.*</v>
      </c>
      <c r="I108" s="86" t="str">
        <f>$C$2&amp;"."&amp;ROWS($A$1:A107)&amp;"."&amp;$E$2&amp;"."&amp;$F$2</f>
        <v>*.107.*.*</v>
      </c>
      <c r="J108" s="86" t="str">
        <f>$C$2&amp;"."&amp;$D$2&amp;"."&amp;ROWS($A$1:A107)&amp;"."&amp;$F$2</f>
        <v>*.*.107.*</v>
      </c>
      <c r="K108" s="86" t="str">
        <f>$C$2&amp;"."&amp;$D$2&amp;"."&amp;$E$2&amp;"."&amp;ROWS($A$1:A107)</f>
        <v>*.*.*.107</v>
      </c>
    </row>
    <row r="109" spans="8:11" x14ac:dyDescent="0.2">
      <c r="H109" s="86" t="str">
        <f>ROWS($A$1:A108)&amp;"."&amp;$D$2&amp;"."&amp;$E$2&amp;"."&amp;$F$2</f>
        <v>108.*.*.*</v>
      </c>
      <c r="I109" s="86" t="str">
        <f>$C$2&amp;"."&amp;ROWS($A$1:A108)&amp;"."&amp;$E$2&amp;"."&amp;$F$2</f>
        <v>*.108.*.*</v>
      </c>
      <c r="J109" s="86" t="str">
        <f>$C$2&amp;"."&amp;$D$2&amp;"."&amp;ROWS($A$1:A108)&amp;"."&amp;$F$2</f>
        <v>*.*.108.*</v>
      </c>
      <c r="K109" s="86" t="str">
        <f>$C$2&amp;"."&amp;$D$2&amp;"."&amp;$E$2&amp;"."&amp;ROWS($A$1:A108)</f>
        <v>*.*.*.108</v>
      </c>
    </row>
    <row r="110" spans="8:11" x14ac:dyDescent="0.2">
      <c r="H110" s="86" t="str">
        <f>ROWS($A$1:A109)&amp;"."&amp;$D$2&amp;"."&amp;$E$2&amp;"."&amp;$F$2</f>
        <v>109.*.*.*</v>
      </c>
      <c r="I110" s="86" t="str">
        <f>$C$2&amp;"."&amp;ROWS($A$1:A109)&amp;"."&amp;$E$2&amp;"."&amp;$F$2</f>
        <v>*.109.*.*</v>
      </c>
      <c r="J110" s="86" t="str">
        <f>$C$2&amp;"."&amp;$D$2&amp;"."&amp;ROWS($A$1:A109)&amp;"."&amp;$F$2</f>
        <v>*.*.109.*</v>
      </c>
      <c r="K110" s="86" t="str">
        <f>$C$2&amp;"."&amp;$D$2&amp;"."&amp;$E$2&amp;"."&amp;ROWS($A$1:A109)</f>
        <v>*.*.*.109</v>
      </c>
    </row>
    <row r="111" spans="8:11" x14ac:dyDescent="0.2">
      <c r="H111" s="86" t="str">
        <f>ROWS($A$1:A110)&amp;"."&amp;$D$2&amp;"."&amp;$E$2&amp;"."&amp;$F$2</f>
        <v>110.*.*.*</v>
      </c>
      <c r="I111" s="86" t="str">
        <f>$C$2&amp;"."&amp;ROWS($A$1:A110)&amp;"."&amp;$E$2&amp;"."&amp;$F$2</f>
        <v>*.110.*.*</v>
      </c>
      <c r="J111" s="86" t="str">
        <f>$C$2&amp;"."&amp;$D$2&amp;"."&amp;ROWS($A$1:A110)&amp;"."&amp;$F$2</f>
        <v>*.*.110.*</v>
      </c>
      <c r="K111" s="86" t="str">
        <f>$C$2&amp;"."&amp;$D$2&amp;"."&amp;$E$2&amp;"."&amp;ROWS($A$1:A110)</f>
        <v>*.*.*.110</v>
      </c>
    </row>
    <row r="112" spans="8:11" x14ac:dyDescent="0.2">
      <c r="H112" s="86" t="str">
        <f>ROWS($A$1:A111)&amp;"."&amp;$D$2&amp;"."&amp;$E$2&amp;"."&amp;$F$2</f>
        <v>111.*.*.*</v>
      </c>
      <c r="I112" s="86" t="str">
        <f>$C$2&amp;"."&amp;ROWS($A$1:A111)&amp;"."&amp;$E$2&amp;"."&amp;$F$2</f>
        <v>*.111.*.*</v>
      </c>
      <c r="J112" s="86" t="str">
        <f>$C$2&amp;"."&amp;$D$2&amp;"."&amp;ROWS($A$1:A111)&amp;"."&amp;$F$2</f>
        <v>*.*.111.*</v>
      </c>
      <c r="K112" s="86" t="str">
        <f>$C$2&amp;"."&amp;$D$2&amp;"."&amp;$E$2&amp;"."&amp;ROWS($A$1:A111)</f>
        <v>*.*.*.111</v>
      </c>
    </row>
    <row r="113" spans="8:11" x14ac:dyDescent="0.2">
      <c r="H113" s="86" t="str">
        <f>ROWS($A$1:A112)&amp;"."&amp;$D$2&amp;"."&amp;$E$2&amp;"."&amp;$F$2</f>
        <v>112.*.*.*</v>
      </c>
      <c r="I113" s="86" t="str">
        <f>$C$2&amp;"."&amp;ROWS($A$1:A112)&amp;"."&amp;$E$2&amp;"."&amp;$F$2</f>
        <v>*.112.*.*</v>
      </c>
      <c r="J113" s="86" t="str">
        <f>$C$2&amp;"."&amp;$D$2&amp;"."&amp;ROWS($A$1:A112)&amp;"."&amp;$F$2</f>
        <v>*.*.112.*</v>
      </c>
      <c r="K113" s="86" t="str">
        <f>$C$2&amp;"."&amp;$D$2&amp;"."&amp;$E$2&amp;"."&amp;ROWS($A$1:A112)</f>
        <v>*.*.*.112</v>
      </c>
    </row>
    <row r="114" spans="8:11" x14ac:dyDescent="0.2">
      <c r="H114" s="86" t="str">
        <f>ROWS($A$1:A113)&amp;"."&amp;$D$2&amp;"."&amp;$E$2&amp;"."&amp;$F$2</f>
        <v>113.*.*.*</v>
      </c>
      <c r="I114" s="86" t="str">
        <f>$C$2&amp;"."&amp;ROWS($A$1:A113)&amp;"."&amp;$E$2&amp;"."&amp;$F$2</f>
        <v>*.113.*.*</v>
      </c>
      <c r="J114" s="86" t="str">
        <f>$C$2&amp;"."&amp;$D$2&amp;"."&amp;ROWS($A$1:A113)&amp;"."&amp;$F$2</f>
        <v>*.*.113.*</v>
      </c>
      <c r="K114" s="86" t="str">
        <f>$C$2&amp;"."&amp;$D$2&amp;"."&amp;$E$2&amp;"."&amp;ROWS($A$1:A113)</f>
        <v>*.*.*.113</v>
      </c>
    </row>
    <row r="115" spans="8:11" x14ac:dyDescent="0.2">
      <c r="H115" s="86" t="str">
        <f>ROWS($A$1:A114)&amp;"."&amp;$D$2&amp;"."&amp;$E$2&amp;"."&amp;$F$2</f>
        <v>114.*.*.*</v>
      </c>
      <c r="I115" s="86" t="str">
        <f>$C$2&amp;"."&amp;ROWS($A$1:A114)&amp;"."&amp;$E$2&amp;"."&amp;$F$2</f>
        <v>*.114.*.*</v>
      </c>
      <c r="J115" s="86" t="str">
        <f>$C$2&amp;"."&amp;$D$2&amp;"."&amp;ROWS($A$1:A114)&amp;"."&amp;$F$2</f>
        <v>*.*.114.*</v>
      </c>
      <c r="K115" s="86" t="str">
        <f>$C$2&amp;"."&amp;$D$2&amp;"."&amp;$E$2&amp;"."&amp;ROWS($A$1:A114)</f>
        <v>*.*.*.114</v>
      </c>
    </row>
    <row r="116" spans="8:11" x14ac:dyDescent="0.2">
      <c r="H116" s="86" t="str">
        <f>ROWS($A$1:A115)&amp;"."&amp;$D$2&amp;"."&amp;$E$2&amp;"."&amp;$F$2</f>
        <v>115.*.*.*</v>
      </c>
      <c r="I116" s="86" t="str">
        <f>$C$2&amp;"."&amp;ROWS($A$1:A115)&amp;"."&amp;$E$2&amp;"."&amp;$F$2</f>
        <v>*.115.*.*</v>
      </c>
      <c r="J116" s="86" t="str">
        <f>$C$2&amp;"."&amp;$D$2&amp;"."&amp;ROWS($A$1:A115)&amp;"."&amp;$F$2</f>
        <v>*.*.115.*</v>
      </c>
      <c r="K116" s="86" t="str">
        <f>$C$2&amp;"."&amp;$D$2&amp;"."&amp;$E$2&amp;"."&amp;ROWS($A$1:A115)</f>
        <v>*.*.*.115</v>
      </c>
    </row>
    <row r="117" spans="8:11" x14ac:dyDescent="0.2">
      <c r="H117" s="86" t="str">
        <f>ROWS($A$1:A116)&amp;"."&amp;$D$2&amp;"."&amp;$E$2&amp;"."&amp;$F$2</f>
        <v>116.*.*.*</v>
      </c>
      <c r="I117" s="86" t="str">
        <f>$C$2&amp;"."&amp;ROWS($A$1:A116)&amp;"."&amp;$E$2&amp;"."&amp;$F$2</f>
        <v>*.116.*.*</v>
      </c>
      <c r="J117" s="86" t="str">
        <f>$C$2&amp;"."&amp;$D$2&amp;"."&amp;ROWS($A$1:A116)&amp;"."&amp;$F$2</f>
        <v>*.*.116.*</v>
      </c>
      <c r="K117" s="86" t="str">
        <f>$C$2&amp;"."&amp;$D$2&amp;"."&amp;$E$2&amp;"."&amp;ROWS($A$1:A116)</f>
        <v>*.*.*.116</v>
      </c>
    </row>
    <row r="118" spans="8:11" x14ac:dyDescent="0.2">
      <c r="H118" s="86" t="str">
        <f>ROWS($A$1:A117)&amp;"."&amp;$D$2&amp;"."&amp;$E$2&amp;"."&amp;$F$2</f>
        <v>117.*.*.*</v>
      </c>
      <c r="I118" s="86" t="str">
        <f>$C$2&amp;"."&amp;ROWS($A$1:A117)&amp;"."&amp;$E$2&amp;"."&amp;$F$2</f>
        <v>*.117.*.*</v>
      </c>
      <c r="J118" s="86" t="str">
        <f>$C$2&amp;"."&amp;$D$2&amp;"."&amp;ROWS($A$1:A117)&amp;"."&amp;$F$2</f>
        <v>*.*.117.*</v>
      </c>
      <c r="K118" s="86" t="str">
        <f>$C$2&amp;"."&amp;$D$2&amp;"."&amp;$E$2&amp;"."&amp;ROWS($A$1:A117)</f>
        <v>*.*.*.117</v>
      </c>
    </row>
    <row r="119" spans="8:11" x14ac:dyDescent="0.2">
      <c r="H119" s="86" t="str">
        <f>ROWS($A$1:A118)&amp;"."&amp;$D$2&amp;"."&amp;$E$2&amp;"."&amp;$F$2</f>
        <v>118.*.*.*</v>
      </c>
      <c r="I119" s="86" t="str">
        <f>$C$2&amp;"."&amp;ROWS($A$1:A118)&amp;"."&amp;$E$2&amp;"."&amp;$F$2</f>
        <v>*.118.*.*</v>
      </c>
      <c r="J119" s="86" t="str">
        <f>$C$2&amp;"."&amp;$D$2&amp;"."&amp;ROWS($A$1:A118)&amp;"."&amp;$F$2</f>
        <v>*.*.118.*</v>
      </c>
      <c r="K119" s="86" t="str">
        <f>$C$2&amp;"."&amp;$D$2&amp;"."&amp;$E$2&amp;"."&amp;ROWS($A$1:A118)</f>
        <v>*.*.*.118</v>
      </c>
    </row>
    <row r="120" spans="8:11" x14ac:dyDescent="0.2">
      <c r="H120" s="86" t="str">
        <f>ROWS($A$1:A119)&amp;"."&amp;$D$2&amp;"."&amp;$E$2&amp;"."&amp;$F$2</f>
        <v>119.*.*.*</v>
      </c>
      <c r="I120" s="86" t="str">
        <f>$C$2&amp;"."&amp;ROWS($A$1:A119)&amp;"."&amp;$E$2&amp;"."&amp;$F$2</f>
        <v>*.119.*.*</v>
      </c>
      <c r="J120" s="86" t="str">
        <f>$C$2&amp;"."&amp;$D$2&amp;"."&amp;ROWS($A$1:A119)&amp;"."&amp;$F$2</f>
        <v>*.*.119.*</v>
      </c>
      <c r="K120" s="86" t="str">
        <f>$C$2&amp;"."&amp;$D$2&amp;"."&amp;$E$2&amp;"."&amp;ROWS($A$1:A119)</f>
        <v>*.*.*.119</v>
      </c>
    </row>
    <row r="121" spans="8:11" x14ac:dyDescent="0.2">
      <c r="H121" s="86" t="str">
        <f>ROWS($A$1:A120)&amp;"."&amp;$D$2&amp;"."&amp;$E$2&amp;"."&amp;$F$2</f>
        <v>120.*.*.*</v>
      </c>
      <c r="I121" s="86" t="str">
        <f>$C$2&amp;"."&amp;ROWS($A$1:A120)&amp;"."&amp;$E$2&amp;"."&amp;$F$2</f>
        <v>*.120.*.*</v>
      </c>
      <c r="J121" s="86" t="str">
        <f>$C$2&amp;"."&amp;$D$2&amp;"."&amp;ROWS($A$1:A120)&amp;"."&amp;$F$2</f>
        <v>*.*.120.*</v>
      </c>
      <c r="K121" s="86" t="str">
        <f>$C$2&amp;"."&amp;$D$2&amp;"."&amp;$E$2&amp;"."&amp;ROWS($A$1:A120)</f>
        <v>*.*.*.120</v>
      </c>
    </row>
    <row r="122" spans="8:11" x14ac:dyDescent="0.2">
      <c r="H122" s="86" t="str">
        <f>ROWS($A$1:A121)&amp;"."&amp;$D$2&amp;"."&amp;$E$2&amp;"."&amp;$F$2</f>
        <v>121.*.*.*</v>
      </c>
      <c r="I122" s="86" t="str">
        <f>$C$2&amp;"."&amp;ROWS($A$1:A121)&amp;"."&amp;$E$2&amp;"."&amp;$F$2</f>
        <v>*.121.*.*</v>
      </c>
      <c r="J122" s="86" t="str">
        <f>$C$2&amp;"."&amp;$D$2&amp;"."&amp;ROWS($A$1:A121)&amp;"."&amp;$F$2</f>
        <v>*.*.121.*</v>
      </c>
      <c r="K122" s="86" t="str">
        <f>$C$2&amp;"."&amp;$D$2&amp;"."&amp;$E$2&amp;"."&amp;ROWS($A$1:A121)</f>
        <v>*.*.*.121</v>
      </c>
    </row>
    <row r="123" spans="8:11" x14ac:dyDescent="0.2">
      <c r="H123" s="86" t="str">
        <f>ROWS($A$1:A122)&amp;"."&amp;$D$2&amp;"."&amp;$E$2&amp;"."&amp;$F$2</f>
        <v>122.*.*.*</v>
      </c>
      <c r="I123" s="86" t="str">
        <f>$C$2&amp;"."&amp;ROWS($A$1:A122)&amp;"."&amp;$E$2&amp;"."&amp;$F$2</f>
        <v>*.122.*.*</v>
      </c>
      <c r="J123" s="86" t="str">
        <f>$C$2&amp;"."&amp;$D$2&amp;"."&amp;ROWS($A$1:A122)&amp;"."&amp;$F$2</f>
        <v>*.*.122.*</v>
      </c>
      <c r="K123" s="86" t="str">
        <f>$C$2&amp;"."&amp;$D$2&amp;"."&amp;$E$2&amp;"."&amp;ROWS($A$1:A122)</f>
        <v>*.*.*.122</v>
      </c>
    </row>
    <row r="124" spans="8:11" x14ac:dyDescent="0.2">
      <c r="H124" s="86" t="str">
        <f>ROWS($A$1:A123)&amp;"."&amp;$D$2&amp;"."&amp;$E$2&amp;"."&amp;$F$2</f>
        <v>123.*.*.*</v>
      </c>
      <c r="I124" s="86" t="str">
        <f>$C$2&amp;"."&amp;ROWS($A$1:A123)&amp;"."&amp;$E$2&amp;"."&amp;$F$2</f>
        <v>*.123.*.*</v>
      </c>
      <c r="J124" s="86" t="str">
        <f>$C$2&amp;"."&amp;$D$2&amp;"."&amp;ROWS($A$1:A123)&amp;"."&amp;$F$2</f>
        <v>*.*.123.*</v>
      </c>
      <c r="K124" s="86" t="str">
        <f>$C$2&amp;"."&amp;$D$2&amp;"."&amp;$E$2&amp;"."&amp;ROWS($A$1:A123)</f>
        <v>*.*.*.123</v>
      </c>
    </row>
    <row r="125" spans="8:11" x14ac:dyDescent="0.2">
      <c r="H125" s="86" t="str">
        <f>ROWS($A$1:A124)&amp;"."&amp;$D$2&amp;"."&amp;$E$2&amp;"."&amp;$F$2</f>
        <v>124.*.*.*</v>
      </c>
      <c r="I125" s="86" t="str">
        <f>$C$2&amp;"."&amp;ROWS($A$1:A124)&amp;"."&amp;$E$2&amp;"."&amp;$F$2</f>
        <v>*.124.*.*</v>
      </c>
      <c r="J125" s="86" t="str">
        <f>$C$2&amp;"."&amp;$D$2&amp;"."&amp;ROWS($A$1:A124)&amp;"."&amp;$F$2</f>
        <v>*.*.124.*</v>
      </c>
      <c r="K125" s="86" t="str">
        <f>$C$2&amp;"."&amp;$D$2&amp;"."&amp;$E$2&amp;"."&amp;ROWS($A$1:A124)</f>
        <v>*.*.*.124</v>
      </c>
    </row>
    <row r="126" spans="8:11" x14ac:dyDescent="0.2">
      <c r="H126" s="86" t="str">
        <f>ROWS($A$1:A125)&amp;"."&amp;$D$2&amp;"."&amp;$E$2&amp;"."&amp;$F$2</f>
        <v>125.*.*.*</v>
      </c>
      <c r="I126" s="86" t="str">
        <f>$C$2&amp;"."&amp;ROWS($A$1:A125)&amp;"."&amp;$E$2&amp;"."&amp;$F$2</f>
        <v>*.125.*.*</v>
      </c>
      <c r="J126" s="86" t="str">
        <f>$C$2&amp;"."&amp;$D$2&amp;"."&amp;ROWS($A$1:A125)&amp;"."&amp;$F$2</f>
        <v>*.*.125.*</v>
      </c>
      <c r="K126" s="86" t="str">
        <f>$C$2&amp;"."&amp;$D$2&amp;"."&amp;$E$2&amp;"."&amp;ROWS($A$1:A125)</f>
        <v>*.*.*.125</v>
      </c>
    </row>
    <row r="127" spans="8:11" x14ac:dyDescent="0.2">
      <c r="H127" s="86" t="str">
        <f>ROWS($A$1:A126)&amp;"."&amp;$D$2&amp;"."&amp;$E$2&amp;"."&amp;$F$2</f>
        <v>126.*.*.*</v>
      </c>
      <c r="I127" s="86" t="str">
        <f>$C$2&amp;"."&amp;ROWS($A$1:A126)&amp;"."&amp;$E$2&amp;"."&amp;$F$2</f>
        <v>*.126.*.*</v>
      </c>
      <c r="J127" s="86" t="str">
        <f>$C$2&amp;"."&amp;$D$2&amp;"."&amp;ROWS($A$1:A126)&amp;"."&amp;$F$2</f>
        <v>*.*.126.*</v>
      </c>
      <c r="K127" s="86" t="str">
        <f>$C$2&amp;"."&amp;$D$2&amp;"."&amp;$E$2&amp;"."&amp;ROWS($A$1:A126)</f>
        <v>*.*.*.126</v>
      </c>
    </row>
    <row r="128" spans="8:11" x14ac:dyDescent="0.2">
      <c r="H128" s="86" t="str">
        <f>ROWS($A$1:A127)&amp;"."&amp;$D$2&amp;"."&amp;$E$2&amp;"."&amp;$F$2</f>
        <v>127.*.*.*</v>
      </c>
      <c r="I128" s="86" t="str">
        <f>$C$2&amp;"."&amp;ROWS($A$1:A127)&amp;"."&amp;$E$2&amp;"."&amp;$F$2</f>
        <v>*.127.*.*</v>
      </c>
      <c r="J128" s="86" t="str">
        <f>$C$2&amp;"."&amp;$D$2&amp;"."&amp;ROWS($A$1:A127)&amp;"."&amp;$F$2</f>
        <v>*.*.127.*</v>
      </c>
      <c r="K128" s="86" t="str">
        <f>$C$2&amp;"."&amp;$D$2&amp;"."&amp;$E$2&amp;"."&amp;ROWS($A$1:A127)</f>
        <v>*.*.*.127</v>
      </c>
    </row>
    <row r="129" spans="8:11" x14ac:dyDescent="0.2">
      <c r="H129" s="86" t="str">
        <f>ROWS($A$1:A128)&amp;"."&amp;$D$2&amp;"."&amp;$E$2&amp;"."&amp;$F$2</f>
        <v>128.*.*.*</v>
      </c>
      <c r="I129" s="86" t="str">
        <f>$C$2&amp;"."&amp;ROWS($A$1:A128)&amp;"."&amp;$E$2&amp;"."&amp;$F$2</f>
        <v>*.128.*.*</v>
      </c>
      <c r="J129" s="86" t="str">
        <f>$C$2&amp;"."&amp;$D$2&amp;"."&amp;ROWS($A$1:A128)&amp;"."&amp;$F$2</f>
        <v>*.*.128.*</v>
      </c>
      <c r="K129" s="86" t="str">
        <f>$C$2&amp;"."&amp;$D$2&amp;"."&amp;$E$2&amp;"."&amp;ROWS($A$1:A128)</f>
        <v>*.*.*.128</v>
      </c>
    </row>
    <row r="130" spans="8:11" x14ac:dyDescent="0.2">
      <c r="H130" s="86" t="str">
        <f>ROWS($A$1:A129)&amp;"."&amp;$D$2&amp;"."&amp;$E$2&amp;"."&amp;$F$2</f>
        <v>129.*.*.*</v>
      </c>
      <c r="I130" s="86" t="str">
        <f>$C$2&amp;"."&amp;ROWS($A$1:A129)&amp;"."&amp;$E$2&amp;"."&amp;$F$2</f>
        <v>*.129.*.*</v>
      </c>
      <c r="J130" s="86" t="str">
        <f>$C$2&amp;"."&amp;$D$2&amp;"."&amp;ROWS($A$1:A129)&amp;"."&amp;$F$2</f>
        <v>*.*.129.*</v>
      </c>
      <c r="K130" s="86" t="str">
        <f>$C$2&amp;"."&amp;$D$2&amp;"."&amp;$E$2&amp;"."&amp;ROWS($A$1:A129)</f>
        <v>*.*.*.129</v>
      </c>
    </row>
    <row r="131" spans="8:11" x14ac:dyDescent="0.2">
      <c r="H131" s="86" t="str">
        <f>ROWS($A$1:A130)&amp;"."&amp;$D$2&amp;"."&amp;$E$2&amp;"."&amp;$F$2</f>
        <v>130.*.*.*</v>
      </c>
      <c r="I131" s="86" t="str">
        <f>$C$2&amp;"."&amp;ROWS($A$1:A130)&amp;"."&amp;$E$2&amp;"."&amp;$F$2</f>
        <v>*.130.*.*</v>
      </c>
      <c r="J131" s="86" t="str">
        <f>$C$2&amp;"."&amp;$D$2&amp;"."&amp;ROWS($A$1:A130)&amp;"."&amp;$F$2</f>
        <v>*.*.130.*</v>
      </c>
      <c r="K131" s="86" t="str">
        <f>$C$2&amp;"."&amp;$D$2&amp;"."&amp;$E$2&amp;"."&amp;ROWS($A$1:A130)</f>
        <v>*.*.*.130</v>
      </c>
    </row>
    <row r="132" spans="8:11" x14ac:dyDescent="0.2">
      <c r="H132" s="86" t="str">
        <f>ROWS($A$1:A131)&amp;"."&amp;$D$2&amp;"."&amp;$E$2&amp;"."&amp;$F$2</f>
        <v>131.*.*.*</v>
      </c>
      <c r="I132" s="86" t="str">
        <f>$C$2&amp;"."&amp;ROWS($A$1:A131)&amp;"."&amp;$E$2&amp;"."&amp;$F$2</f>
        <v>*.131.*.*</v>
      </c>
      <c r="J132" s="86" t="str">
        <f>$C$2&amp;"."&amp;$D$2&amp;"."&amp;ROWS($A$1:A131)&amp;"."&amp;$F$2</f>
        <v>*.*.131.*</v>
      </c>
      <c r="K132" s="86" t="str">
        <f>$C$2&amp;"."&amp;$D$2&amp;"."&amp;$E$2&amp;"."&amp;ROWS($A$1:A131)</f>
        <v>*.*.*.131</v>
      </c>
    </row>
    <row r="133" spans="8:11" x14ac:dyDescent="0.2">
      <c r="H133" s="86" t="str">
        <f>ROWS($A$1:A132)&amp;"."&amp;$D$2&amp;"."&amp;$E$2&amp;"."&amp;$F$2</f>
        <v>132.*.*.*</v>
      </c>
      <c r="I133" s="86" t="str">
        <f>$C$2&amp;"."&amp;ROWS($A$1:A132)&amp;"."&amp;$E$2&amp;"."&amp;$F$2</f>
        <v>*.132.*.*</v>
      </c>
      <c r="J133" s="86" t="str">
        <f>$C$2&amp;"."&amp;$D$2&amp;"."&amp;ROWS($A$1:A132)&amp;"."&amp;$F$2</f>
        <v>*.*.132.*</v>
      </c>
      <c r="K133" s="86" t="str">
        <f>$C$2&amp;"."&amp;$D$2&amp;"."&amp;$E$2&amp;"."&amp;ROWS($A$1:A132)</f>
        <v>*.*.*.132</v>
      </c>
    </row>
    <row r="134" spans="8:11" x14ac:dyDescent="0.2">
      <c r="H134" s="86" t="str">
        <f>ROWS($A$1:A133)&amp;"."&amp;$D$2&amp;"."&amp;$E$2&amp;"."&amp;$F$2</f>
        <v>133.*.*.*</v>
      </c>
      <c r="I134" s="86" t="str">
        <f>$C$2&amp;"."&amp;ROWS($A$1:A133)&amp;"."&amp;$E$2&amp;"."&amp;$F$2</f>
        <v>*.133.*.*</v>
      </c>
      <c r="J134" s="86" t="str">
        <f>$C$2&amp;"."&amp;$D$2&amp;"."&amp;ROWS($A$1:A133)&amp;"."&amp;$F$2</f>
        <v>*.*.133.*</v>
      </c>
      <c r="K134" s="86" t="str">
        <f>$C$2&amp;"."&amp;$D$2&amp;"."&amp;$E$2&amp;"."&amp;ROWS($A$1:A133)</f>
        <v>*.*.*.133</v>
      </c>
    </row>
    <row r="135" spans="8:11" x14ac:dyDescent="0.2">
      <c r="H135" s="86" t="str">
        <f>ROWS($A$1:A134)&amp;"."&amp;$D$2&amp;"."&amp;$E$2&amp;"."&amp;$F$2</f>
        <v>134.*.*.*</v>
      </c>
      <c r="I135" s="86" t="str">
        <f>$C$2&amp;"."&amp;ROWS($A$1:A134)&amp;"."&amp;$E$2&amp;"."&amp;$F$2</f>
        <v>*.134.*.*</v>
      </c>
      <c r="J135" s="86" t="str">
        <f>$C$2&amp;"."&amp;$D$2&amp;"."&amp;ROWS($A$1:A134)&amp;"."&amp;$F$2</f>
        <v>*.*.134.*</v>
      </c>
      <c r="K135" s="86" t="str">
        <f>$C$2&amp;"."&amp;$D$2&amp;"."&amp;$E$2&amp;"."&amp;ROWS($A$1:A134)</f>
        <v>*.*.*.134</v>
      </c>
    </row>
    <row r="136" spans="8:11" x14ac:dyDescent="0.2">
      <c r="H136" s="86" t="str">
        <f>ROWS($A$1:A135)&amp;"."&amp;$D$2&amp;"."&amp;$E$2&amp;"."&amp;$F$2</f>
        <v>135.*.*.*</v>
      </c>
      <c r="I136" s="86" t="str">
        <f>$C$2&amp;"."&amp;ROWS($A$1:A135)&amp;"."&amp;$E$2&amp;"."&amp;$F$2</f>
        <v>*.135.*.*</v>
      </c>
      <c r="J136" s="86" t="str">
        <f>$C$2&amp;"."&amp;$D$2&amp;"."&amp;ROWS($A$1:A135)&amp;"."&amp;$F$2</f>
        <v>*.*.135.*</v>
      </c>
      <c r="K136" s="86" t="str">
        <f>$C$2&amp;"."&amp;$D$2&amp;"."&amp;$E$2&amp;"."&amp;ROWS($A$1:A135)</f>
        <v>*.*.*.135</v>
      </c>
    </row>
    <row r="137" spans="8:11" x14ac:dyDescent="0.2">
      <c r="H137" s="86" t="str">
        <f>ROWS($A$1:A136)&amp;"."&amp;$D$2&amp;"."&amp;$E$2&amp;"."&amp;$F$2</f>
        <v>136.*.*.*</v>
      </c>
      <c r="I137" s="86" t="str">
        <f>$C$2&amp;"."&amp;ROWS($A$1:A136)&amp;"."&amp;$E$2&amp;"."&amp;$F$2</f>
        <v>*.136.*.*</v>
      </c>
      <c r="J137" s="86" t="str">
        <f>$C$2&amp;"."&amp;$D$2&amp;"."&amp;ROWS($A$1:A136)&amp;"."&amp;$F$2</f>
        <v>*.*.136.*</v>
      </c>
      <c r="K137" s="86" t="str">
        <f>$C$2&amp;"."&amp;$D$2&amp;"."&amp;$E$2&amp;"."&amp;ROWS($A$1:A136)</f>
        <v>*.*.*.136</v>
      </c>
    </row>
    <row r="138" spans="8:11" x14ac:dyDescent="0.2">
      <c r="H138" s="86" t="str">
        <f>ROWS($A$1:A137)&amp;"."&amp;$D$2&amp;"."&amp;$E$2&amp;"."&amp;$F$2</f>
        <v>137.*.*.*</v>
      </c>
      <c r="I138" s="86" t="str">
        <f>$C$2&amp;"."&amp;ROWS($A$1:A137)&amp;"."&amp;$E$2&amp;"."&amp;$F$2</f>
        <v>*.137.*.*</v>
      </c>
      <c r="J138" s="86" t="str">
        <f>$C$2&amp;"."&amp;$D$2&amp;"."&amp;ROWS($A$1:A137)&amp;"."&amp;$F$2</f>
        <v>*.*.137.*</v>
      </c>
      <c r="K138" s="86" t="str">
        <f>$C$2&amp;"."&amp;$D$2&amp;"."&amp;$E$2&amp;"."&amp;ROWS($A$1:A137)</f>
        <v>*.*.*.137</v>
      </c>
    </row>
    <row r="139" spans="8:11" x14ac:dyDescent="0.2">
      <c r="H139" s="86" t="str">
        <f>ROWS($A$1:A138)&amp;"."&amp;$D$2&amp;"."&amp;$E$2&amp;"."&amp;$F$2</f>
        <v>138.*.*.*</v>
      </c>
      <c r="I139" s="86" t="str">
        <f>$C$2&amp;"."&amp;ROWS($A$1:A138)&amp;"."&amp;$E$2&amp;"."&amp;$F$2</f>
        <v>*.138.*.*</v>
      </c>
      <c r="J139" s="86" t="str">
        <f>$C$2&amp;"."&amp;$D$2&amp;"."&amp;ROWS($A$1:A138)&amp;"."&amp;$F$2</f>
        <v>*.*.138.*</v>
      </c>
      <c r="K139" s="86" t="str">
        <f>$C$2&amp;"."&amp;$D$2&amp;"."&amp;$E$2&amp;"."&amp;ROWS($A$1:A138)</f>
        <v>*.*.*.138</v>
      </c>
    </row>
    <row r="140" spans="8:11" x14ac:dyDescent="0.2">
      <c r="H140" s="86" t="str">
        <f>ROWS($A$1:A139)&amp;"."&amp;$D$2&amp;"."&amp;$E$2&amp;"."&amp;$F$2</f>
        <v>139.*.*.*</v>
      </c>
      <c r="I140" s="86" t="str">
        <f>$C$2&amp;"."&amp;ROWS($A$1:A139)&amp;"."&amp;$E$2&amp;"."&amp;$F$2</f>
        <v>*.139.*.*</v>
      </c>
      <c r="J140" s="86" t="str">
        <f>$C$2&amp;"."&amp;$D$2&amp;"."&amp;ROWS($A$1:A139)&amp;"."&amp;$F$2</f>
        <v>*.*.139.*</v>
      </c>
      <c r="K140" s="86" t="str">
        <f>$C$2&amp;"."&amp;$D$2&amp;"."&amp;$E$2&amp;"."&amp;ROWS($A$1:A139)</f>
        <v>*.*.*.139</v>
      </c>
    </row>
    <row r="141" spans="8:11" x14ac:dyDescent="0.2">
      <c r="H141" s="86" t="str">
        <f>ROWS($A$1:A140)&amp;"."&amp;$D$2&amp;"."&amp;$E$2&amp;"."&amp;$F$2</f>
        <v>140.*.*.*</v>
      </c>
      <c r="I141" s="86" t="str">
        <f>$C$2&amp;"."&amp;ROWS($A$1:A140)&amp;"."&amp;$E$2&amp;"."&amp;$F$2</f>
        <v>*.140.*.*</v>
      </c>
      <c r="J141" s="86" t="str">
        <f>$C$2&amp;"."&amp;$D$2&amp;"."&amp;ROWS($A$1:A140)&amp;"."&amp;$F$2</f>
        <v>*.*.140.*</v>
      </c>
      <c r="K141" s="86" t="str">
        <f>$C$2&amp;"."&amp;$D$2&amp;"."&amp;$E$2&amp;"."&amp;ROWS($A$1:A140)</f>
        <v>*.*.*.140</v>
      </c>
    </row>
    <row r="142" spans="8:11" x14ac:dyDescent="0.2">
      <c r="H142" s="86" t="str">
        <f>ROWS($A$1:A141)&amp;"."&amp;$D$2&amp;"."&amp;$E$2&amp;"."&amp;$F$2</f>
        <v>141.*.*.*</v>
      </c>
      <c r="I142" s="86" t="str">
        <f>$C$2&amp;"."&amp;ROWS($A$1:A141)&amp;"."&amp;$E$2&amp;"."&amp;$F$2</f>
        <v>*.141.*.*</v>
      </c>
      <c r="J142" s="86" t="str">
        <f>$C$2&amp;"."&amp;$D$2&amp;"."&amp;ROWS($A$1:A141)&amp;"."&amp;$F$2</f>
        <v>*.*.141.*</v>
      </c>
      <c r="K142" s="86" t="str">
        <f>$C$2&amp;"."&amp;$D$2&amp;"."&amp;$E$2&amp;"."&amp;ROWS($A$1:A141)</f>
        <v>*.*.*.141</v>
      </c>
    </row>
    <row r="143" spans="8:11" x14ac:dyDescent="0.2">
      <c r="H143" s="86" t="str">
        <f>ROWS($A$1:A142)&amp;"."&amp;$D$2&amp;"."&amp;$E$2&amp;"."&amp;$F$2</f>
        <v>142.*.*.*</v>
      </c>
      <c r="I143" s="86" t="str">
        <f>$C$2&amp;"."&amp;ROWS($A$1:A142)&amp;"."&amp;$E$2&amp;"."&amp;$F$2</f>
        <v>*.142.*.*</v>
      </c>
      <c r="J143" s="86" t="str">
        <f>$C$2&amp;"."&amp;$D$2&amp;"."&amp;ROWS($A$1:A142)&amp;"."&amp;$F$2</f>
        <v>*.*.142.*</v>
      </c>
      <c r="K143" s="86" t="str">
        <f>$C$2&amp;"."&amp;$D$2&amp;"."&amp;$E$2&amp;"."&amp;ROWS($A$1:A142)</f>
        <v>*.*.*.142</v>
      </c>
    </row>
    <row r="144" spans="8:11" x14ac:dyDescent="0.2">
      <c r="H144" s="86" t="str">
        <f>ROWS($A$1:A143)&amp;"."&amp;$D$2&amp;"."&amp;$E$2&amp;"."&amp;$F$2</f>
        <v>143.*.*.*</v>
      </c>
      <c r="I144" s="86" t="str">
        <f>$C$2&amp;"."&amp;ROWS($A$1:A143)&amp;"."&amp;$E$2&amp;"."&amp;$F$2</f>
        <v>*.143.*.*</v>
      </c>
      <c r="J144" s="86" t="str">
        <f>$C$2&amp;"."&amp;$D$2&amp;"."&amp;ROWS($A$1:A143)&amp;"."&amp;$F$2</f>
        <v>*.*.143.*</v>
      </c>
      <c r="K144" s="86" t="str">
        <f>$C$2&amp;"."&amp;$D$2&amp;"."&amp;$E$2&amp;"."&amp;ROWS($A$1:A143)</f>
        <v>*.*.*.143</v>
      </c>
    </row>
    <row r="145" spans="8:11" x14ac:dyDescent="0.2">
      <c r="H145" s="86" t="str">
        <f>ROWS($A$1:A144)&amp;"."&amp;$D$2&amp;"."&amp;$E$2&amp;"."&amp;$F$2</f>
        <v>144.*.*.*</v>
      </c>
      <c r="I145" s="86" t="str">
        <f>$C$2&amp;"."&amp;ROWS($A$1:A144)&amp;"."&amp;$E$2&amp;"."&amp;$F$2</f>
        <v>*.144.*.*</v>
      </c>
      <c r="J145" s="86" t="str">
        <f>$C$2&amp;"."&amp;$D$2&amp;"."&amp;ROWS($A$1:A144)&amp;"."&amp;$F$2</f>
        <v>*.*.144.*</v>
      </c>
      <c r="K145" s="86" t="str">
        <f>$C$2&amp;"."&amp;$D$2&amp;"."&amp;$E$2&amp;"."&amp;ROWS($A$1:A144)</f>
        <v>*.*.*.144</v>
      </c>
    </row>
    <row r="146" spans="8:11" x14ac:dyDescent="0.2">
      <c r="H146" s="86" t="str">
        <f>ROWS($A$1:A145)&amp;"."&amp;$D$2&amp;"."&amp;$E$2&amp;"."&amp;$F$2</f>
        <v>145.*.*.*</v>
      </c>
      <c r="I146" s="86" t="str">
        <f>$C$2&amp;"."&amp;ROWS($A$1:A145)&amp;"."&amp;$E$2&amp;"."&amp;$F$2</f>
        <v>*.145.*.*</v>
      </c>
      <c r="J146" s="86" t="str">
        <f>$C$2&amp;"."&amp;$D$2&amp;"."&amp;ROWS($A$1:A145)&amp;"."&amp;$F$2</f>
        <v>*.*.145.*</v>
      </c>
      <c r="K146" s="86" t="str">
        <f>$C$2&amp;"."&amp;$D$2&amp;"."&amp;$E$2&amp;"."&amp;ROWS($A$1:A145)</f>
        <v>*.*.*.145</v>
      </c>
    </row>
    <row r="147" spans="8:11" x14ac:dyDescent="0.2">
      <c r="H147" s="86" t="str">
        <f>ROWS($A$1:A146)&amp;"."&amp;$D$2&amp;"."&amp;$E$2&amp;"."&amp;$F$2</f>
        <v>146.*.*.*</v>
      </c>
      <c r="I147" s="86" t="str">
        <f>$C$2&amp;"."&amp;ROWS($A$1:A146)&amp;"."&amp;$E$2&amp;"."&amp;$F$2</f>
        <v>*.146.*.*</v>
      </c>
      <c r="J147" s="86" t="str">
        <f>$C$2&amp;"."&amp;$D$2&amp;"."&amp;ROWS($A$1:A146)&amp;"."&amp;$F$2</f>
        <v>*.*.146.*</v>
      </c>
      <c r="K147" s="86" t="str">
        <f>$C$2&amp;"."&amp;$D$2&amp;"."&amp;$E$2&amp;"."&amp;ROWS($A$1:A146)</f>
        <v>*.*.*.146</v>
      </c>
    </row>
    <row r="148" spans="8:11" x14ac:dyDescent="0.2">
      <c r="H148" s="86" t="str">
        <f>ROWS($A$1:A147)&amp;"."&amp;$D$2&amp;"."&amp;$E$2&amp;"."&amp;$F$2</f>
        <v>147.*.*.*</v>
      </c>
      <c r="I148" s="86" t="str">
        <f>$C$2&amp;"."&amp;ROWS($A$1:A147)&amp;"."&amp;$E$2&amp;"."&amp;$F$2</f>
        <v>*.147.*.*</v>
      </c>
      <c r="J148" s="86" t="str">
        <f>$C$2&amp;"."&amp;$D$2&amp;"."&amp;ROWS($A$1:A147)&amp;"."&amp;$F$2</f>
        <v>*.*.147.*</v>
      </c>
      <c r="K148" s="86" t="str">
        <f>$C$2&amp;"."&amp;$D$2&amp;"."&amp;$E$2&amp;"."&amp;ROWS($A$1:A147)</f>
        <v>*.*.*.147</v>
      </c>
    </row>
    <row r="149" spans="8:11" x14ac:dyDescent="0.2">
      <c r="H149" s="86" t="str">
        <f>ROWS($A$1:A148)&amp;"."&amp;$D$2&amp;"."&amp;$E$2&amp;"."&amp;$F$2</f>
        <v>148.*.*.*</v>
      </c>
      <c r="I149" s="86" t="str">
        <f>$C$2&amp;"."&amp;ROWS($A$1:A148)&amp;"."&amp;$E$2&amp;"."&amp;$F$2</f>
        <v>*.148.*.*</v>
      </c>
      <c r="J149" s="86" t="str">
        <f>$C$2&amp;"."&amp;$D$2&amp;"."&amp;ROWS($A$1:A148)&amp;"."&amp;$F$2</f>
        <v>*.*.148.*</v>
      </c>
      <c r="K149" s="86" t="str">
        <f>$C$2&amp;"."&amp;$D$2&amp;"."&amp;$E$2&amp;"."&amp;ROWS($A$1:A148)</f>
        <v>*.*.*.148</v>
      </c>
    </row>
    <row r="150" spans="8:11" x14ac:dyDescent="0.2">
      <c r="H150" s="86" t="str">
        <f>ROWS($A$1:A149)&amp;"."&amp;$D$2&amp;"."&amp;$E$2&amp;"."&amp;$F$2</f>
        <v>149.*.*.*</v>
      </c>
      <c r="I150" s="86" t="str">
        <f>$C$2&amp;"."&amp;ROWS($A$1:A149)&amp;"."&amp;$E$2&amp;"."&amp;$F$2</f>
        <v>*.149.*.*</v>
      </c>
      <c r="J150" s="86" t="str">
        <f>$C$2&amp;"."&amp;$D$2&amp;"."&amp;ROWS($A$1:A149)&amp;"."&amp;$F$2</f>
        <v>*.*.149.*</v>
      </c>
      <c r="K150" s="86" t="str">
        <f>$C$2&amp;"."&amp;$D$2&amp;"."&amp;$E$2&amp;"."&amp;ROWS($A$1:A149)</f>
        <v>*.*.*.149</v>
      </c>
    </row>
    <row r="151" spans="8:11" x14ac:dyDescent="0.2">
      <c r="H151" s="86" t="str">
        <f>ROWS($A$1:A150)&amp;"."&amp;$D$2&amp;"."&amp;$E$2&amp;"."&amp;$F$2</f>
        <v>150.*.*.*</v>
      </c>
      <c r="I151" s="86" t="str">
        <f>$C$2&amp;"."&amp;ROWS($A$1:A150)&amp;"."&amp;$E$2&amp;"."&amp;$F$2</f>
        <v>*.150.*.*</v>
      </c>
      <c r="J151" s="86" t="str">
        <f>$C$2&amp;"."&amp;$D$2&amp;"."&amp;ROWS($A$1:A150)&amp;"."&amp;$F$2</f>
        <v>*.*.150.*</v>
      </c>
      <c r="K151" s="86" t="str">
        <f>$C$2&amp;"."&amp;$D$2&amp;"."&amp;$E$2&amp;"."&amp;ROWS($A$1:A150)</f>
        <v>*.*.*.150</v>
      </c>
    </row>
    <row r="152" spans="8:11" x14ac:dyDescent="0.2">
      <c r="H152" s="86" t="str">
        <f>ROWS($A$1:A151)&amp;"."&amp;$D$2&amp;"."&amp;$E$2&amp;"."&amp;$F$2</f>
        <v>151.*.*.*</v>
      </c>
      <c r="I152" s="86" t="str">
        <f>$C$2&amp;"."&amp;ROWS($A$1:A151)&amp;"."&amp;$E$2&amp;"."&amp;$F$2</f>
        <v>*.151.*.*</v>
      </c>
      <c r="J152" s="86" t="str">
        <f>$C$2&amp;"."&amp;$D$2&amp;"."&amp;ROWS($A$1:A151)&amp;"."&amp;$F$2</f>
        <v>*.*.151.*</v>
      </c>
      <c r="K152" s="86" t="str">
        <f>$C$2&amp;"."&amp;$D$2&amp;"."&amp;$E$2&amp;"."&amp;ROWS($A$1:A151)</f>
        <v>*.*.*.151</v>
      </c>
    </row>
    <row r="153" spans="8:11" x14ac:dyDescent="0.2">
      <c r="H153" s="86" t="str">
        <f>ROWS($A$1:A152)&amp;"."&amp;$D$2&amp;"."&amp;$E$2&amp;"."&amp;$F$2</f>
        <v>152.*.*.*</v>
      </c>
      <c r="I153" s="86" t="str">
        <f>$C$2&amp;"."&amp;ROWS($A$1:A152)&amp;"."&amp;$E$2&amp;"."&amp;$F$2</f>
        <v>*.152.*.*</v>
      </c>
      <c r="J153" s="86" t="str">
        <f>$C$2&amp;"."&amp;$D$2&amp;"."&amp;ROWS($A$1:A152)&amp;"."&amp;$F$2</f>
        <v>*.*.152.*</v>
      </c>
      <c r="K153" s="86" t="str">
        <f>$C$2&amp;"."&amp;$D$2&amp;"."&amp;$E$2&amp;"."&amp;ROWS($A$1:A152)</f>
        <v>*.*.*.152</v>
      </c>
    </row>
    <row r="154" spans="8:11" x14ac:dyDescent="0.2">
      <c r="H154" s="86" t="str">
        <f>ROWS($A$1:A153)&amp;"."&amp;$D$2&amp;"."&amp;$E$2&amp;"."&amp;$F$2</f>
        <v>153.*.*.*</v>
      </c>
      <c r="I154" s="86" t="str">
        <f>$C$2&amp;"."&amp;ROWS($A$1:A153)&amp;"."&amp;$E$2&amp;"."&amp;$F$2</f>
        <v>*.153.*.*</v>
      </c>
      <c r="J154" s="86" t="str">
        <f>$C$2&amp;"."&amp;$D$2&amp;"."&amp;ROWS($A$1:A153)&amp;"."&amp;$F$2</f>
        <v>*.*.153.*</v>
      </c>
      <c r="K154" s="86" t="str">
        <f>$C$2&amp;"."&amp;$D$2&amp;"."&amp;$E$2&amp;"."&amp;ROWS($A$1:A153)</f>
        <v>*.*.*.153</v>
      </c>
    </row>
    <row r="155" spans="8:11" x14ac:dyDescent="0.2">
      <c r="H155" s="86" t="str">
        <f>ROWS($A$1:A154)&amp;"."&amp;$D$2&amp;"."&amp;$E$2&amp;"."&amp;$F$2</f>
        <v>154.*.*.*</v>
      </c>
      <c r="I155" s="86" t="str">
        <f>$C$2&amp;"."&amp;ROWS($A$1:A154)&amp;"."&amp;$E$2&amp;"."&amp;$F$2</f>
        <v>*.154.*.*</v>
      </c>
      <c r="J155" s="86" t="str">
        <f>$C$2&amp;"."&amp;$D$2&amp;"."&amp;ROWS($A$1:A154)&amp;"."&amp;$F$2</f>
        <v>*.*.154.*</v>
      </c>
      <c r="K155" s="86" t="str">
        <f>$C$2&amp;"."&amp;$D$2&amp;"."&amp;$E$2&amp;"."&amp;ROWS($A$1:A154)</f>
        <v>*.*.*.154</v>
      </c>
    </row>
    <row r="156" spans="8:11" x14ac:dyDescent="0.2">
      <c r="H156" s="86" t="str">
        <f>ROWS($A$1:A155)&amp;"."&amp;$D$2&amp;"."&amp;$E$2&amp;"."&amp;$F$2</f>
        <v>155.*.*.*</v>
      </c>
      <c r="I156" s="86" t="str">
        <f>$C$2&amp;"."&amp;ROWS($A$1:A155)&amp;"."&amp;$E$2&amp;"."&amp;$F$2</f>
        <v>*.155.*.*</v>
      </c>
      <c r="J156" s="86" t="str">
        <f>$C$2&amp;"."&amp;$D$2&amp;"."&amp;ROWS($A$1:A155)&amp;"."&amp;$F$2</f>
        <v>*.*.155.*</v>
      </c>
      <c r="K156" s="86" t="str">
        <f>$C$2&amp;"."&amp;$D$2&amp;"."&amp;$E$2&amp;"."&amp;ROWS($A$1:A155)</f>
        <v>*.*.*.155</v>
      </c>
    </row>
    <row r="157" spans="8:11" x14ac:dyDescent="0.2">
      <c r="H157" s="86" t="str">
        <f>ROWS($A$1:A156)&amp;"."&amp;$D$2&amp;"."&amp;$E$2&amp;"."&amp;$F$2</f>
        <v>156.*.*.*</v>
      </c>
      <c r="I157" s="86" t="str">
        <f>$C$2&amp;"."&amp;ROWS($A$1:A156)&amp;"."&amp;$E$2&amp;"."&amp;$F$2</f>
        <v>*.156.*.*</v>
      </c>
      <c r="J157" s="86" t="str">
        <f>$C$2&amp;"."&amp;$D$2&amp;"."&amp;ROWS($A$1:A156)&amp;"."&amp;$F$2</f>
        <v>*.*.156.*</v>
      </c>
      <c r="K157" s="86" t="str">
        <f>$C$2&amp;"."&amp;$D$2&amp;"."&amp;$E$2&amp;"."&amp;ROWS($A$1:A156)</f>
        <v>*.*.*.156</v>
      </c>
    </row>
    <row r="158" spans="8:11" x14ac:dyDescent="0.2">
      <c r="H158" s="86" t="str">
        <f>ROWS($A$1:A157)&amp;"."&amp;$D$2&amp;"."&amp;$E$2&amp;"."&amp;$F$2</f>
        <v>157.*.*.*</v>
      </c>
      <c r="I158" s="86" t="str">
        <f>$C$2&amp;"."&amp;ROWS($A$1:A157)&amp;"."&amp;$E$2&amp;"."&amp;$F$2</f>
        <v>*.157.*.*</v>
      </c>
      <c r="J158" s="86" t="str">
        <f>$C$2&amp;"."&amp;$D$2&amp;"."&amp;ROWS($A$1:A157)&amp;"."&amp;$F$2</f>
        <v>*.*.157.*</v>
      </c>
      <c r="K158" s="86" t="str">
        <f>$C$2&amp;"."&amp;$D$2&amp;"."&amp;$E$2&amp;"."&amp;ROWS($A$1:A157)</f>
        <v>*.*.*.157</v>
      </c>
    </row>
    <row r="159" spans="8:11" x14ac:dyDescent="0.2">
      <c r="H159" s="86" t="str">
        <f>ROWS($A$1:A158)&amp;"."&amp;$D$2&amp;"."&amp;$E$2&amp;"."&amp;$F$2</f>
        <v>158.*.*.*</v>
      </c>
      <c r="I159" s="86" t="str">
        <f>$C$2&amp;"."&amp;ROWS($A$1:A158)&amp;"."&amp;$E$2&amp;"."&amp;$F$2</f>
        <v>*.158.*.*</v>
      </c>
      <c r="J159" s="86" t="str">
        <f>$C$2&amp;"."&amp;$D$2&amp;"."&amp;ROWS($A$1:A158)&amp;"."&amp;$F$2</f>
        <v>*.*.158.*</v>
      </c>
      <c r="K159" s="86" t="str">
        <f>$C$2&amp;"."&amp;$D$2&amp;"."&amp;$E$2&amp;"."&amp;ROWS($A$1:A158)</f>
        <v>*.*.*.158</v>
      </c>
    </row>
    <row r="160" spans="8:11" x14ac:dyDescent="0.2">
      <c r="H160" s="86" t="str">
        <f>ROWS($A$1:A159)&amp;"."&amp;$D$2&amp;"."&amp;$E$2&amp;"."&amp;$F$2</f>
        <v>159.*.*.*</v>
      </c>
      <c r="I160" s="86" t="str">
        <f>$C$2&amp;"."&amp;ROWS($A$1:A159)&amp;"."&amp;$E$2&amp;"."&amp;$F$2</f>
        <v>*.159.*.*</v>
      </c>
      <c r="J160" s="86" t="str">
        <f>$C$2&amp;"."&amp;$D$2&amp;"."&amp;ROWS($A$1:A159)&amp;"."&amp;$F$2</f>
        <v>*.*.159.*</v>
      </c>
      <c r="K160" s="86" t="str">
        <f>$C$2&amp;"."&amp;$D$2&amp;"."&amp;$E$2&amp;"."&amp;ROWS($A$1:A159)</f>
        <v>*.*.*.159</v>
      </c>
    </row>
    <row r="161" spans="8:11" x14ac:dyDescent="0.2">
      <c r="H161" s="86" t="str">
        <f>ROWS($A$1:A160)&amp;"."&amp;$D$2&amp;"."&amp;$E$2&amp;"."&amp;$F$2</f>
        <v>160.*.*.*</v>
      </c>
      <c r="I161" s="86" t="str">
        <f>$C$2&amp;"."&amp;ROWS($A$1:A160)&amp;"."&amp;$E$2&amp;"."&amp;$F$2</f>
        <v>*.160.*.*</v>
      </c>
      <c r="J161" s="86" t="str">
        <f>$C$2&amp;"."&amp;$D$2&amp;"."&amp;ROWS($A$1:A160)&amp;"."&amp;$F$2</f>
        <v>*.*.160.*</v>
      </c>
      <c r="K161" s="86" t="str">
        <f>$C$2&amp;"."&amp;$D$2&amp;"."&amp;$E$2&amp;"."&amp;ROWS($A$1:A160)</f>
        <v>*.*.*.160</v>
      </c>
    </row>
    <row r="162" spans="8:11" x14ac:dyDescent="0.2">
      <c r="H162" s="86" t="str">
        <f>ROWS($A$1:A161)&amp;"."&amp;$D$2&amp;"."&amp;$E$2&amp;"."&amp;$F$2</f>
        <v>161.*.*.*</v>
      </c>
      <c r="I162" s="86" t="str">
        <f>$C$2&amp;"."&amp;ROWS($A$1:A161)&amp;"."&amp;$E$2&amp;"."&amp;$F$2</f>
        <v>*.161.*.*</v>
      </c>
      <c r="J162" s="86" t="str">
        <f>$C$2&amp;"."&amp;$D$2&amp;"."&amp;ROWS($A$1:A161)&amp;"."&amp;$F$2</f>
        <v>*.*.161.*</v>
      </c>
      <c r="K162" s="86" t="str">
        <f>$C$2&amp;"."&amp;$D$2&amp;"."&amp;$E$2&amp;"."&amp;ROWS($A$1:A161)</f>
        <v>*.*.*.161</v>
      </c>
    </row>
    <row r="163" spans="8:11" x14ac:dyDescent="0.2">
      <c r="H163" s="86" t="str">
        <f>ROWS($A$1:A162)&amp;"."&amp;$D$2&amp;"."&amp;$E$2&amp;"."&amp;$F$2</f>
        <v>162.*.*.*</v>
      </c>
      <c r="I163" s="86" t="str">
        <f>$C$2&amp;"."&amp;ROWS($A$1:A162)&amp;"."&amp;$E$2&amp;"."&amp;$F$2</f>
        <v>*.162.*.*</v>
      </c>
      <c r="J163" s="86" t="str">
        <f>$C$2&amp;"."&amp;$D$2&amp;"."&amp;ROWS($A$1:A162)&amp;"."&amp;$F$2</f>
        <v>*.*.162.*</v>
      </c>
      <c r="K163" s="86" t="str">
        <f>$C$2&amp;"."&amp;$D$2&amp;"."&amp;$E$2&amp;"."&amp;ROWS($A$1:A162)</f>
        <v>*.*.*.162</v>
      </c>
    </row>
    <row r="164" spans="8:11" x14ac:dyDescent="0.2">
      <c r="H164" s="86" t="str">
        <f>ROWS($A$1:A163)&amp;"."&amp;$D$2&amp;"."&amp;$E$2&amp;"."&amp;$F$2</f>
        <v>163.*.*.*</v>
      </c>
      <c r="I164" s="86" t="str">
        <f>$C$2&amp;"."&amp;ROWS($A$1:A163)&amp;"."&amp;$E$2&amp;"."&amp;$F$2</f>
        <v>*.163.*.*</v>
      </c>
      <c r="J164" s="86" t="str">
        <f>$C$2&amp;"."&amp;$D$2&amp;"."&amp;ROWS($A$1:A163)&amp;"."&amp;$F$2</f>
        <v>*.*.163.*</v>
      </c>
      <c r="K164" s="86" t="str">
        <f>$C$2&amp;"."&amp;$D$2&amp;"."&amp;$E$2&amp;"."&amp;ROWS($A$1:A163)</f>
        <v>*.*.*.163</v>
      </c>
    </row>
    <row r="165" spans="8:11" x14ac:dyDescent="0.2">
      <c r="H165" s="86" t="str">
        <f>ROWS($A$1:A164)&amp;"."&amp;$D$2&amp;"."&amp;$E$2&amp;"."&amp;$F$2</f>
        <v>164.*.*.*</v>
      </c>
      <c r="I165" s="86" t="str">
        <f>$C$2&amp;"."&amp;ROWS($A$1:A164)&amp;"."&amp;$E$2&amp;"."&amp;$F$2</f>
        <v>*.164.*.*</v>
      </c>
      <c r="J165" s="86" t="str">
        <f>$C$2&amp;"."&amp;$D$2&amp;"."&amp;ROWS($A$1:A164)&amp;"."&amp;$F$2</f>
        <v>*.*.164.*</v>
      </c>
      <c r="K165" s="86" t="str">
        <f>$C$2&amp;"."&amp;$D$2&amp;"."&amp;$E$2&amp;"."&amp;ROWS($A$1:A164)</f>
        <v>*.*.*.164</v>
      </c>
    </row>
    <row r="166" spans="8:11" x14ac:dyDescent="0.2">
      <c r="H166" s="86" t="str">
        <f>ROWS($A$1:A165)&amp;"."&amp;$D$2&amp;"."&amp;$E$2&amp;"."&amp;$F$2</f>
        <v>165.*.*.*</v>
      </c>
      <c r="I166" s="86" t="str">
        <f>$C$2&amp;"."&amp;ROWS($A$1:A165)&amp;"."&amp;$E$2&amp;"."&amp;$F$2</f>
        <v>*.165.*.*</v>
      </c>
      <c r="J166" s="86" t="str">
        <f>$C$2&amp;"."&amp;$D$2&amp;"."&amp;ROWS($A$1:A165)&amp;"."&amp;$F$2</f>
        <v>*.*.165.*</v>
      </c>
      <c r="K166" s="86" t="str">
        <f>$C$2&amp;"."&amp;$D$2&amp;"."&amp;$E$2&amp;"."&amp;ROWS($A$1:A165)</f>
        <v>*.*.*.165</v>
      </c>
    </row>
    <row r="167" spans="8:11" x14ac:dyDescent="0.2">
      <c r="H167" s="86" t="str">
        <f>ROWS($A$1:A166)&amp;"."&amp;$D$2&amp;"."&amp;$E$2&amp;"."&amp;$F$2</f>
        <v>166.*.*.*</v>
      </c>
      <c r="I167" s="86" t="str">
        <f>$C$2&amp;"."&amp;ROWS($A$1:A166)&amp;"."&amp;$E$2&amp;"."&amp;$F$2</f>
        <v>*.166.*.*</v>
      </c>
      <c r="J167" s="86" t="str">
        <f>$C$2&amp;"."&amp;$D$2&amp;"."&amp;ROWS($A$1:A166)&amp;"."&amp;$F$2</f>
        <v>*.*.166.*</v>
      </c>
      <c r="K167" s="86" t="str">
        <f>$C$2&amp;"."&amp;$D$2&amp;"."&amp;$E$2&amp;"."&amp;ROWS($A$1:A166)</f>
        <v>*.*.*.166</v>
      </c>
    </row>
    <row r="168" spans="8:11" x14ac:dyDescent="0.2">
      <c r="H168" s="86" t="str">
        <f>ROWS($A$1:A167)&amp;"."&amp;$D$2&amp;"."&amp;$E$2&amp;"."&amp;$F$2</f>
        <v>167.*.*.*</v>
      </c>
      <c r="I168" s="86" t="str">
        <f>$C$2&amp;"."&amp;ROWS($A$1:A167)&amp;"."&amp;$E$2&amp;"."&amp;$F$2</f>
        <v>*.167.*.*</v>
      </c>
      <c r="J168" s="86" t="str">
        <f>$C$2&amp;"."&amp;$D$2&amp;"."&amp;ROWS($A$1:A167)&amp;"."&amp;$F$2</f>
        <v>*.*.167.*</v>
      </c>
      <c r="K168" s="86" t="str">
        <f>$C$2&amp;"."&amp;$D$2&amp;"."&amp;$E$2&amp;"."&amp;ROWS($A$1:A167)</f>
        <v>*.*.*.167</v>
      </c>
    </row>
    <row r="169" spans="8:11" x14ac:dyDescent="0.2">
      <c r="H169" s="86" t="str">
        <f>ROWS($A$1:A168)&amp;"."&amp;$D$2&amp;"."&amp;$E$2&amp;"."&amp;$F$2</f>
        <v>168.*.*.*</v>
      </c>
      <c r="I169" s="86" t="str">
        <f>$C$2&amp;"."&amp;ROWS($A$1:A168)&amp;"."&amp;$E$2&amp;"."&amp;$F$2</f>
        <v>*.168.*.*</v>
      </c>
      <c r="J169" s="86" t="str">
        <f>$C$2&amp;"."&amp;$D$2&amp;"."&amp;ROWS($A$1:A168)&amp;"."&amp;$F$2</f>
        <v>*.*.168.*</v>
      </c>
      <c r="K169" s="86" t="str">
        <f>$C$2&amp;"."&amp;$D$2&amp;"."&amp;$E$2&amp;"."&amp;ROWS($A$1:A168)</f>
        <v>*.*.*.168</v>
      </c>
    </row>
    <row r="170" spans="8:11" x14ac:dyDescent="0.2">
      <c r="H170" s="86" t="str">
        <f>ROWS($A$1:A169)&amp;"."&amp;$D$2&amp;"."&amp;$E$2&amp;"."&amp;$F$2</f>
        <v>169.*.*.*</v>
      </c>
      <c r="I170" s="86" t="str">
        <f>$C$2&amp;"."&amp;ROWS($A$1:A169)&amp;"."&amp;$E$2&amp;"."&amp;$F$2</f>
        <v>*.169.*.*</v>
      </c>
      <c r="J170" s="86" t="str">
        <f>$C$2&amp;"."&amp;$D$2&amp;"."&amp;ROWS($A$1:A169)&amp;"."&amp;$F$2</f>
        <v>*.*.169.*</v>
      </c>
      <c r="K170" s="86" t="str">
        <f>$C$2&amp;"."&amp;$D$2&amp;"."&amp;$E$2&amp;"."&amp;ROWS($A$1:A169)</f>
        <v>*.*.*.169</v>
      </c>
    </row>
    <row r="171" spans="8:11" x14ac:dyDescent="0.2">
      <c r="H171" s="86" t="str">
        <f>ROWS($A$1:A170)&amp;"."&amp;$D$2&amp;"."&amp;$E$2&amp;"."&amp;$F$2</f>
        <v>170.*.*.*</v>
      </c>
      <c r="I171" s="86" t="str">
        <f>$C$2&amp;"."&amp;ROWS($A$1:A170)&amp;"."&amp;$E$2&amp;"."&amp;$F$2</f>
        <v>*.170.*.*</v>
      </c>
      <c r="J171" s="86" t="str">
        <f>$C$2&amp;"."&amp;$D$2&amp;"."&amp;ROWS($A$1:A170)&amp;"."&amp;$F$2</f>
        <v>*.*.170.*</v>
      </c>
      <c r="K171" s="86" t="str">
        <f>$C$2&amp;"."&amp;$D$2&amp;"."&amp;$E$2&amp;"."&amp;ROWS($A$1:A170)</f>
        <v>*.*.*.170</v>
      </c>
    </row>
    <row r="172" spans="8:11" x14ac:dyDescent="0.2">
      <c r="H172" s="86" t="str">
        <f>ROWS($A$1:A171)&amp;"."&amp;$D$2&amp;"."&amp;$E$2&amp;"."&amp;$F$2</f>
        <v>171.*.*.*</v>
      </c>
      <c r="I172" s="86" t="str">
        <f>$C$2&amp;"."&amp;ROWS($A$1:A171)&amp;"."&amp;$E$2&amp;"."&amp;$F$2</f>
        <v>*.171.*.*</v>
      </c>
      <c r="J172" s="86" t="str">
        <f>$C$2&amp;"."&amp;$D$2&amp;"."&amp;ROWS($A$1:A171)&amp;"."&amp;$F$2</f>
        <v>*.*.171.*</v>
      </c>
      <c r="K172" s="86" t="str">
        <f>$C$2&amp;"."&amp;$D$2&amp;"."&amp;$E$2&amp;"."&amp;ROWS($A$1:A171)</f>
        <v>*.*.*.171</v>
      </c>
    </row>
    <row r="173" spans="8:11" x14ac:dyDescent="0.2">
      <c r="H173" s="86" t="str">
        <f>ROWS($A$1:A172)&amp;"."&amp;$D$2&amp;"."&amp;$E$2&amp;"."&amp;$F$2</f>
        <v>172.*.*.*</v>
      </c>
      <c r="I173" s="86" t="str">
        <f>$C$2&amp;"."&amp;ROWS($A$1:A172)&amp;"."&amp;$E$2&amp;"."&amp;$F$2</f>
        <v>*.172.*.*</v>
      </c>
      <c r="J173" s="86" t="str">
        <f>$C$2&amp;"."&amp;$D$2&amp;"."&amp;ROWS($A$1:A172)&amp;"."&amp;$F$2</f>
        <v>*.*.172.*</v>
      </c>
      <c r="K173" s="86" t="str">
        <f>$C$2&amp;"."&amp;$D$2&amp;"."&amp;$E$2&amp;"."&amp;ROWS($A$1:A172)</f>
        <v>*.*.*.172</v>
      </c>
    </row>
    <row r="174" spans="8:11" x14ac:dyDescent="0.2">
      <c r="H174" s="86" t="str">
        <f>ROWS($A$1:A173)&amp;"."&amp;$D$2&amp;"."&amp;$E$2&amp;"."&amp;$F$2</f>
        <v>173.*.*.*</v>
      </c>
      <c r="I174" s="86" t="str">
        <f>$C$2&amp;"."&amp;ROWS($A$1:A173)&amp;"."&amp;$E$2&amp;"."&amp;$F$2</f>
        <v>*.173.*.*</v>
      </c>
      <c r="J174" s="86" t="str">
        <f>$C$2&amp;"."&amp;$D$2&amp;"."&amp;ROWS($A$1:A173)&amp;"."&amp;$F$2</f>
        <v>*.*.173.*</v>
      </c>
      <c r="K174" s="86" t="str">
        <f>$C$2&amp;"."&amp;$D$2&amp;"."&amp;$E$2&amp;"."&amp;ROWS($A$1:A173)</f>
        <v>*.*.*.173</v>
      </c>
    </row>
    <row r="175" spans="8:11" x14ac:dyDescent="0.2">
      <c r="H175" s="86" t="str">
        <f>ROWS($A$1:A174)&amp;"."&amp;$D$2&amp;"."&amp;$E$2&amp;"."&amp;$F$2</f>
        <v>174.*.*.*</v>
      </c>
      <c r="I175" s="86" t="str">
        <f>$C$2&amp;"."&amp;ROWS($A$1:A174)&amp;"."&amp;$E$2&amp;"."&amp;$F$2</f>
        <v>*.174.*.*</v>
      </c>
      <c r="J175" s="86" t="str">
        <f>$C$2&amp;"."&amp;$D$2&amp;"."&amp;ROWS($A$1:A174)&amp;"."&amp;$F$2</f>
        <v>*.*.174.*</v>
      </c>
      <c r="K175" s="86" t="str">
        <f>$C$2&amp;"."&amp;$D$2&amp;"."&amp;$E$2&amp;"."&amp;ROWS($A$1:A174)</f>
        <v>*.*.*.174</v>
      </c>
    </row>
    <row r="176" spans="8:11" x14ac:dyDescent="0.2">
      <c r="H176" s="86" t="str">
        <f>ROWS($A$1:A175)&amp;"."&amp;$D$2&amp;"."&amp;$E$2&amp;"."&amp;$F$2</f>
        <v>175.*.*.*</v>
      </c>
      <c r="I176" s="86" t="str">
        <f>$C$2&amp;"."&amp;ROWS($A$1:A175)&amp;"."&amp;$E$2&amp;"."&amp;$F$2</f>
        <v>*.175.*.*</v>
      </c>
      <c r="J176" s="86" t="str">
        <f>$C$2&amp;"."&amp;$D$2&amp;"."&amp;ROWS($A$1:A175)&amp;"."&amp;$F$2</f>
        <v>*.*.175.*</v>
      </c>
      <c r="K176" s="86" t="str">
        <f>$C$2&amp;"."&amp;$D$2&amp;"."&amp;$E$2&amp;"."&amp;ROWS($A$1:A175)</f>
        <v>*.*.*.175</v>
      </c>
    </row>
    <row r="177" spans="8:11" x14ac:dyDescent="0.2">
      <c r="H177" s="86" t="str">
        <f>ROWS($A$1:A176)&amp;"."&amp;$D$2&amp;"."&amp;$E$2&amp;"."&amp;$F$2</f>
        <v>176.*.*.*</v>
      </c>
      <c r="I177" s="86" t="str">
        <f>$C$2&amp;"."&amp;ROWS($A$1:A176)&amp;"."&amp;$E$2&amp;"."&amp;$F$2</f>
        <v>*.176.*.*</v>
      </c>
      <c r="J177" s="86" t="str">
        <f>$C$2&amp;"."&amp;$D$2&amp;"."&amp;ROWS($A$1:A176)&amp;"."&amp;$F$2</f>
        <v>*.*.176.*</v>
      </c>
      <c r="K177" s="86" t="str">
        <f>$C$2&amp;"."&amp;$D$2&amp;"."&amp;$E$2&amp;"."&amp;ROWS($A$1:A176)</f>
        <v>*.*.*.176</v>
      </c>
    </row>
    <row r="178" spans="8:11" x14ac:dyDescent="0.2">
      <c r="H178" s="86" t="str">
        <f>ROWS($A$1:A177)&amp;"."&amp;$D$2&amp;"."&amp;$E$2&amp;"."&amp;$F$2</f>
        <v>177.*.*.*</v>
      </c>
      <c r="I178" s="86" t="str">
        <f>$C$2&amp;"."&amp;ROWS($A$1:A177)&amp;"."&amp;$E$2&amp;"."&amp;$F$2</f>
        <v>*.177.*.*</v>
      </c>
      <c r="J178" s="86" t="str">
        <f>$C$2&amp;"."&amp;$D$2&amp;"."&amp;ROWS($A$1:A177)&amp;"."&amp;$F$2</f>
        <v>*.*.177.*</v>
      </c>
      <c r="K178" s="86" t="str">
        <f>$C$2&amp;"."&amp;$D$2&amp;"."&amp;$E$2&amp;"."&amp;ROWS($A$1:A177)</f>
        <v>*.*.*.177</v>
      </c>
    </row>
    <row r="179" spans="8:11" x14ac:dyDescent="0.2">
      <c r="H179" s="86" t="str">
        <f>ROWS($A$1:A178)&amp;"."&amp;$D$2&amp;"."&amp;$E$2&amp;"."&amp;$F$2</f>
        <v>178.*.*.*</v>
      </c>
      <c r="I179" s="86" t="str">
        <f>$C$2&amp;"."&amp;ROWS($A$1:A178)&amp;"."&amp;$E$2&amp;"."&amp;$F$2</f>
        <v>*.178.*.*</v>
      </c>
      <c r="J179" s="86" t="str">
        <f>$C$2&amp;"."&amp;$D$2&amp;"."&amp;ROWS($A$1:A178)&amp;"."&amp;$F$2</f>
        <v>*.*.178.*</v>
      </c>
      <c r="K179" s="86" t="str">
        <f>$C$2&amp;"."&amp;$D$2&amp;"."&amp;$E$2&amp;"."&amp;ROWS($A$1:A178)</f>
        <v>*.*.*.178</v>
      </c>
    </row>
    <row r="180" spans="8:11" x14ac:dyDescent="0.2">
      <c r="H180" s="86" t="str">
        <f>ROWS($A$1:A179)&amp;"."&amp;$D$2&amp;"."&amp;$E$2&amp;"."&amp;$F$2</f>
        <v>179.*.*.*</v>
      </c>
      <c r="I180" s="86" t="str">
        <f>$C$2&amp;"."&amp;ROWS($A$1:A179)&amp;"."&amp;$E$2&amp;"."&amp;$F$2</f>
        <v>*.179.*.*</v>
      </c>
      <c r="J180" s="86" t="str">
        <f>$C$2&amp;"."&amp;$D$2&amp;"."&amp;ROWS($A$1:A179)&amp;"."&amp;$F$2</f>
        <v>*.*.179.*</v>
      </c>
      <c r="K180" s="86" t="str">
        <f>$C$2&amp;"."&amp;$D$2&amp;"."&amp;$E$2&amp;"."&amp;ROWS($A$1:A179)</f>
        <v>*.*.*.179</v>
      </c>
    </row>
    <row r="181" spans="8:11" x14ac:dyDescent="0.2">
      <c r="H181" s="86" t="str">
        <f>ROWS($A$1:A180)&amp;"."&amp;$D$2&amp;"."&amp;$E$2&amp;"."&amp;$F$2</f>
        <v>180.*.*.*</v>
      </c>
      <c r="I181" s="86" t="str">
        <f>$C$2&amp;"."&amp;ROWS($A$1:A180)&amp;"."&amp;$E$2&amp;"."&amp;$F$2</f>
        <v>*.180.*.*</v>
      </c>
      <c r="J181" s="86" t="str">
        <f>$C$2&amp;"."&amp;$D$2&amp;"."&amp;ROWS($A$1:A180)&amp;"."&amp;$F$2</f>
        <v>*.*.180.*</v>
      </c>
      <c r="K181" s="86" t="str">
        <f>$C$2&amp;"."&amp;$D$2&amp;"."&amp;$E$2&amp;"."&amp;ROWS($A$1:A180)</f>
        <v>*.*.*.180</v>
      </c>
    </row>
    <row r="182" spans="8:11" x14ac:dyDescent="0.2">
      <c r="H182" s="86" t="str">
        <f>ROWS($A$1:A181)&amp;"."&amp;$D$2&amp;"."&amp;$E$2&amp;"."&amp;$F$2</f>
        <v>181.*.*.*</v>
      </c>
      <c r="I182" s="86" t="str">
        <f>$C$2&amp;"."&amp;ROWS($A$1:A181)&amp;"."&amp;$E$2&amp;"."&amp;$F$2</f>
        <v>*.181.*.*</v>
      </c>
      <c r="J182" s="86" t="str">
        <f>$C$2&amp;"."&amp;$D$2&amp;"."&amp;ROWS($A$1:A181)&amp;"."&amp;$F$2</f>
        <v>*.*.181.*</v>
      </c>
      <c r="K182" s="86" t="str">
        <f>$C$2&amp;"."&amp;$D$2&amp;"."&amp;$E$2&amp;"."&amp;ROWS($A$1:A181)</f>
        <v>*.*.*.181</v>
      </c>
    </row>
    <row r="183" spans="8:11" x14ac:dyDescent="0.2">
      <c r="H183" s="86" t="str">
        <f>ROWS($A$1:A182)&amp;"."&amp;$D$2&amp;"."&amp;$E$2&amp;"."&amp;$F$2</f>
        <v>182.*.*.*</v>
      </c>
      <c r="I183" s="86" t="str">
        <f>$C$2&amp;"."&amp;ROWS($A$1:A182)&amp;"."&amp;$E$2&amp;"."&amp;$F$2</f>
        <v>*.182.*.*</v>
      </c>
      <c r="J183" s="86" t="str">
        <f>$C$2&amp;"."&amp;$D$2&amp;"."&amp;ROWS($A$1:A182)&amp;"."&amp;$F$2</f>
        <v>*.*.182.*</v>
      </c>
      <c r="K183" s="86" t="str">
        <f>$C$2&amp;"."&amp;$D$2&amp;"."&amp;$E$2&amp;"."&amp;ROWS($A$1:A182)</f>
        <v>*.*.*.182</v>
      </c>
    </row>
    <row r="184" spans="8:11" x14ac:dyDescent="0.2">
      <c r="H184" s="86" t="str">
        <f>ROWS($A$1:A183)&amp;"."&amp;$D$2&amp;"."&amp;$E$2&amp;"."&amp;$F$2</f>
        <v>183.*.*.*</v>
      </c>
      <c r="I184" s="86" t="str">
        <f>$C$2&amp;"."&amp;ROWS($A$1:A183)&amp;"."&amp;$E$2&amp;"."&amp;$F$2</f>
        <v>*.183.*.*</v>
      </c>
      <c r="J184" s="86" t="str">
        <f>$C$2&amp;"."&amp;$D$2&amp;"."&amp;ROWS($A$1:A183)&amp;"."&amp;$F$2</f>
        <v>*.*.183.*</v>
      </c>
      <c r="K184" s="86" t="str">
        <f>$C$2&amp;"."&amp;$D$2&amp;"."&amp;$E$2&amp;"."&amp;ROWS($A$1:A183)</f>
        <v>*.*.*.183</v>
      </c>
    </row>
    <row r="185" spans="8:11" x14ac:dyDescent="0.2">
      <c r="H185" s="86" t="str">
        <f>ROWS($A$1:A184)&amp;"."&amp;$D$2&amp;"."&amp;$E$2&amp;"."&amp;$F$2</f>
        <v>184.*.*.*</v>
      </c>
      <c r="I185" s="86" t="str">
        <f>$C$2&amp;"."&amp;ROWS($A$1:A184)&amp;"."&amp;$E$2&amp;"."&amp;$F$2</f>
        <v>*.184.*.*</v>
      </c>
      <c r="J185" s="86" t="str">
        <f>$C$2&amp;"."&amp;$D$2&amp;"."&amp;ROWS($A$1:A184)&amp;"."&amp;$F$2</f>
        <v>*.*.184.*</v>
      </c>
      <c r="K185" s="86" t="str">
        <f>$C$2&amp;"."&amp;$D$2&amp;"."&amp;$E$2&amp;"."&amp;ROWS($A$1:A184)</f>
        <v>*.*.*.184</v>
      </c>
    </row>
    <row r="186" spans="8:11" x14ac:dyDescent="0.2">
      <c r="H186" s="86" t="str">
        <f>ROWS($A$1:A185)&amp;"."&amp;$D$2&amp;"."&amp;$E$2&amp;"."&amp;$F$2</f>
        <v>185.*.*.*</v>
      </c>
      <c r="I186" s="86" t="str">
        <f>$C$2&amp;"."&amp;ROWS($A$1:A185)&amp;"."&amp;$E$2&amp;"."&amp;$F$2</f>
        <v>*.185.*.*</v>
      </c>
      <c r="J186" s="86" t="str">
        <f>$C$2&amp;"."&amp;$D$2&amp;"."&amp;ROWS($A$1:A185)&amp;"."&amp;$F$2</f>
        <v>*.*.185.*</v>
      </c>
      <c r="K186" s="86" t="str">
        <f>$C$2&amp;"."&amp;$D$2&amp;"."&amp;$E$2&amp;"."&amp;ROWS($A$1:A185)</f>
        <v>*.*.*.185</v>
      </c>
    </row>
    <row r="187" spans="8:11" x14ac:dyDescent="0.2">
      <c r="H187" s="86" t="str">
        <f>ROWS($A$1:A186)&amp;"."&amp;$D$2&amp;"."&amp;$E$2&amp;"."&amp;$F$2</f>
        <v>186.*.*.*</v>
      </c>
      <c r="I187" s="86" t="str">
        <f>$C$2&amp;"."&amp;ROWS($A$1:A186)&amp;"."&amp;$E$2&amp;"."&amp;$F$2</f>
        <v>*.186.*.*</v>
      </c>
      <c r="J187" s="86" t="str">
        <f>$C$2&amp;"."&amp;$D$2&amp;"."&amp;ROWS($A$1:A186)&amp;"."&amp;$F$2</f>
        <v>*.*.186.*</v>
      </c>
      <c r="K187" s="86" t="str">
        <f>$C$2&amp;"."&amp;$D$2&amp;"."&amp;$E$2&amp;"."&amp;ROWS($A$1:A186)</f>
        <v>*.*.*.186</v>
      </c>
    </row>
    <row r="188" spans="8:11" x14ac:dyDescent="0.2">
      <c r="H188" s="86" t="str">
        <f>ROWS($A$1:A187)&amp;"."&amp;$D$2&amp;"."&amp;$E$2&amp;"."&amp;$F$2</f>
        <v>187.*.*.*</v>
      </c>
      <c r="I188" s="86" t="str">
        <f>$C$2&amp;"."&amp;ROWS($A$1:A187)&amp;"."&amp;$E$2&amp;"."&amp;$F$2</f>
        <v>*.187.*.*</v>
      </c>
      <c r="J188" s="86" t="str">
        <f>$C$2&amp;"."&amp;$D$2&amp;"."&amp;ROWS($A$1:A187)&amp;"."&amp;$F$2</f>
        <v>*.*.187.*</v>
      </c>
      <c r="K188" s="86" t="str">
        <f>$C$2&amp;"."&amp;$D$2&amp;"."&amp;$E$2&amp;"."&amp;ROWS($A$1:A187)</f>
        <v>*.*.*.187</v>
      </c>
    </row>
    <row r="189" spans="8:11" x14ac:dyDescent="0.2">
      <c r="H189" s="86" t="str">
        <f>ROWS($A$1:A188)&amp;"."&amp;$D$2&amp;"."&amp;$E$2&amp;"."&amp;$F$2</f>
        <v>188.*.*.*</v>
      </c>
      <c r="I189" s="86" t="str">
        <f>$C$2&amp;"."&amp;ROWS($A$1:A188)&amp;"."&amp;$E$2&amp;"."&amp;$F$2</f>
        <v>*.188.*.*</v>
      </c>
      <c r="J189" s="86" t="str">
        <f>$C$2&amp;"."&amp;$D$2&amp;"."&amp;ROWS($A$1:A188)&amp;"."&amp;$F$2</f>
        <v>*.*.188.*</v>
      </c>
      <c r="K189" s="86" t="str">
        <f>$C$2&amp;"."&amp;$D$2&amp;"."&amp;$E$2&amp;"."&amp;ROWS($A$1:A188)</f>
        <v>*.*.*.188</v>
      </c>
    </row>
    <row r="190" spans="8:11" x14ac:dyDescent="0.2">
      <c r="H190" s="86" t="str">
        <f>ROWS($A$1:A189)&amp;"."&amp;$D$2&amp;"."&amp;$E$2&amp;"."&amp;$F$2</f>
        <v>189.*.*.*</v>
      </c>
      <c r="I190" s="86" t="str">
        <f>$C$2&amp;"."&amp;ROWS($A$1:A189)&amp;"."&amp;$E$2&amp;"."&amp;$F$2</f>
        <v>*.189.*.*</v>
      </c>
      <c r="J190" s="86" t="str">
        <f>$C$2&amp;"."&amp;$D$2&amp;"."&amp;ROWS($A$1:A189)&amp;"."&amp;$F$2</f>
        <v>*.*.189.*</v>
      </c>
      <c r="K190" s="86" t="str">
        <f>$C$2&amp;"."&amp;$D$2&amp;"."&amp;$E$2&amp;"."&amp;ROWS($A$1:A189)</f>
        <v>*.*.*.189</v>
      </c>
    </row>
    <row r="191" spans="8:11" x14ac:dyDescent="0.2">
      <c r="H191" s="86" t="str">
        <f>ROWS($A$1:A190)&amp;"."&amp;$D$2&amp;"."&amp;$E$2&amp;"."&amp;$F$2</f>
        <v>190.*.*.*</v>
      </c>
      <c r="I191" s="86" t="str">
        <f>$C$2&amp;"."&amp;ROWS($A$1:A190)&amp;"."&amp;$E$2&amp;"."&amp;$F$2</f>
        <v>*.190.*.*</v>
      </c>
      <c r="J191" s="86" t="str">
        <f>$C$2&amp;"."&amp;$D$2&amp;"."&amp;ROWS($A$1:A190)&amp;"."&amp;$F$2</f>
        <v>*.*.190.*</v>
      </c>
      <c r="K191" s="86" t="str">
        <f>$C$2&amp;"."&amp;$D$2&amp;"."&amp;$E$2&amp;"."&amp;ROWS($A$1:A190)</f>
        <v>*.*.*.190</v>
      </c>
    </row>
    <row r="192" spans="8:11" x14ac:dyDescent="0.2">
      <c r="H192" s="86" t="str">
        <f>ROWS($A$1:A191)&amp;"."&amp;$D$2&amp;"."&amp;$E$2&amp;"."&amp;$F$2</f>
        <v>191.*.*.*</v>
      </c>
      <c r="I192" s="86" t="str">
        <f>$C$2&amp;"."&amp;ROWS($A$1:A191)&amp;"."&amp;$E$2&amp;"."&amp;$F$2</f>
        <v>*.191.*.*</v>
      </c>
      <c r="J192" s="86" t="str">
        <f>$C$2&amp;"."&amp;$D$2&amp;"."&amp;ROWS($A$1:A191)&amp;"."&amp;$F$2</f>
        <v>*.*.191.*</v>
      </c>
      <c r="K192" s="86" t="str">
        <f>$C$2&amp;"."&amp;$D$2&amp;"."&amp;$E$2&amp;"."&amp;ROWS($A$1:A191)</f>
        <v>*.*.*.191</v>
      </c>
    </row>
    <row r="193" spans="8:11" x14ac:dyDescent="0.2">
      <c r="H193" s="86" t="str">
        <f>ROWS($A$1:A192)&amp;"."&amp;$D$2&amp;"."&amp;$E$2&amp;"."&amp;$F$2</f>
        <v>192.*.*.*</v>
      </c>
      <c r="I193" s="86" t="str">
        <f>$C$2&amp;"."&amp;ROWS($A$1:A192)&amp;"."&amp;$E$2&amp;"."&amp;$F$2</f>
        <v>*.192.*.*</v>
      </c>
      <c r="J193" s="86" t="str">
        <f>$C$2&amp;"."&amp;$D$2&amp;"."&amp;ROWS($A$1:A192)&amp;"."&amp;$F$2</f>
        <v>*.*.192.*</v>
      </c>
      <c r="K193" s="86" t="str">
        <f>$C$2&amp;"."&amp;$D$2&amp;"."&amp;$E$2&amp;"."&amp;ROWS($A$1:A192)</f>
        <v>*.*.*.192</v>
      </c>
    </row>
    <row r="194" spans="8:11" x14ac:dyDescent="0.2">
      <c r="H194" s="86" t="str">
        <f>ROWS($A$1:A193)&amp;"."&amp;$D$2&amp;"."&amp;$E$2&amp;"."&amp;$F$2</f>
        <v>193.*.*.*</v>
      </c>
      <c r="I194" s="86" t="str">
        <f>$C$2&amp;"."&amp;ROWS($A$1:A193)&amp;"."&amp;$E$2&amp;"."&amp;$F$2</f>
        <v>*.193.*.*</v>
      </c>
      <c r="J194" s="86" t="str">
        <f>$C$2&amp;"."&amp;$D$2&amp;"."&amp;ROWS($A$1:A193)&amp;"."&amp;$F$2</f>
        <v>*.*.193.*</v>
      </c>
      <c r="K194" s="86" t="str">
        <f>$C$2&amp;"."&amp;$D$2&amp;"."&amp;$E$2&amp;"."&amp;ROWS($A$1:A193)</f>
        <v>*.*.*.193</v>
      </c>
    </row>
    <row r="195" spans="8:11" x14ac:dyDescent="0.2">
      <c r="H195" s="86" t="str">
        <f>ROWS($A$1:A194)&amp;"."&amp;$D$2&amp;"."&amp;$E$2&amp;"."&amp;$F$2</f>
        <v>194.*.*.*</v>
      </c>
      <c r="I195" s="86" t="str">
        <f>$C$2&amp;"."&amp;ROWS($A$1:A194)&amp;"."&amp;$E$2&amp;"."&amp;$F$2</f>
        <v>*.194.*.*</v>
      </c>
      <c r="J195" s="86" t="str">
        <f>$C$2&amp;"."&amp;$D$2&amp;"."&amp;ROWS($A$1:A194)&amp;"."&amp;$F$2</f>
        <v>*.*.194.*</v>
      </c>
      <c r="K195" s="86" t="str">
        <f>$C$2&amp;"."&amp;$D$2&amp;"."&amp;$E$2&amp;"."&amp;ROWS($A$1:A194)</f>
        <v>*.*.*.194</v>
      </c>
    </row>
    <row r="196" spans="8:11" x14ac:dyDescent="0.2">
      <c r="H196" s="86" t="str">
        <f>ROWS($A$1:A195)&amp;"."&amp;$D$2&amp;"."&amp;$E$2&amp;"."&amp;$F$2</f>
        <v>195.*.*.*</v>
      </c>
      <c r="I196" s="86" t="str">
        <f>$C$2&amp;"."&amp;ROWS($A$1:A195)&amp;"."&amp;$E$2&amp;"."&amp;$F$2</f>
        <v>*.195.*.*</v>
      </c>
      <c r="J196" s="86" t="str">
        <f>$C$2&amp;"."&amp;$D$2&amp;"."&amp;ROWS($A$1:A195)&amp;"."&amp;$F$2</f>
        <v>*.*.195.*</v>
      </c>
      <c r="K196" s="86" t="str">
        <f>$C$2&amp;"."&amp;$D$2&amp;"."&amp;$E$2&amp;"."&amp;ROWS($A$1:A195)</f>
        <v>*.*.*.195</v>
      </c>
    </row>
    <row r="197" spans="8:11" x14ac:dyDescent="0.2">
      <c r="H197" s="86" t="str">
        <f>ROWS($A$1:A196)&amp;"."&amp;$D$2&amp;"."&amp;$E$2&amp;"."&amp;$F$2</f>
        <v>196.*.*.*</v>
      </c>
      <c r="I197" s="86" t="str">
        <f>$C$2&amp;"."&amp;ROWS($A$1:A196)&amp;"."&amp;$E$2&amp;"."&amp;$F$2</f>
        <v>*.196.*.*</v>
      </c>
      <c r="J197" s="86" t="str">
        <f>$C$2&amp;"."&amp;$D$2&amp;"."&amp;ROWS($A$1:A196)&amp;"."&amp;$F$2</f>
        <v>*.*.196.*</v>
      </c>
      <c r="K197" s="86" t="str">
        <f>$C$2&amp;"."&amp;$D$2&amp;"."&amp;$E$2&amp;"."&amp;ROWS($A$1:A196)</f>
        <v>*.*.*.196</v>
      </c>
    </row>
    <row r="198" spans="8:11" x14ac:dyDescent="0.2">
      <c r="H198" s="86" t="str">
        <f>ROWS($A$1:A197)&amp;"."&amp;$D$2&amp;"."&amp;$E$2&amp;"."&amp;$F$2</f>
        <v>197.*.*.*</v>
      </c>
      <c r="I198" s="86" t="str">
        <f>$C$2&amp;"."&amp;ROWS($A$1:A197)&amp;"."&amp;$E$2&amp;"."&amp;$F$2</f>
        <v>*.197.*.*</v>
      </c>
      <c r="J198" s="86" t="str">
        <f>$C$2&amp;"."&amp;$D$2&amp;"."&amp;ROWS($A$1:A197)&amp;"."&amp;$F$2</f>
        <v>*.*.197.*</v>
      </c>
      <c r="K198" s="86" t="str">
        <f>$C$2&amp;"."&amp;$D$2&amp;"."&amp;$E$2&amp;"."&amp;ROWS($A$1:A197)</f>
        <v>*.*.*.197</v>
      </c>
    </row>
    <row r="199" spans="8:11" x14ac:dyDescent="0.2">
      <c r="H199" s="86" t="str">
        <f>ROWS($A$1:A198)&amp;"."&amp;$D$2&amp;"."&amp;$E$2&amp;"."&amp;$F$2</f>
        <v>198.*.*.*</v>
      </c>
      <c r="I199" s="86" t="str">
        <f>$C$2&amp;"."&amp;ROWS($A$1:A198)&amp;"."&amp;$E$2&amp;"."&amp;$F$2</f>
        <v>*.198.*.*</v>
      </c>
      <c r="J199" s="86" t="str">
        <f>$C$2&amp;"."&amp;$D$2&amp;"."&amp;ROWS($A$1:A198)&amp;"."&amp;$F$2</f>
        <v>*.*.198.*</v>
      </c>
      <c r="K199" s="86" t="str">
        <f>$C$2&amp;"."&amp;$D$2&amp;"."&amp;$E$2&amp;"."&amp;ROWS($A$1:A198)</f>
        <v>*.*.*.198</v>
      </c>
    </row>
    <row r="200" spans="8:11" x14ac:dyDescent="0.2">
      <c r="H200" s="86" t="str">
        <f>ROWS($A$1:A199)&amp;"."&amp;$D$2&amp;"."&amp;$E$2&amp;"."&amp;$F$2</f>
        <v>199.*.*.*</v>
      </c>
      <c r="I200" s="86" t="str">
        <f>$C$2&amp;"."&amp;ROWS($A$1:A199)&amp;"."&amp;$E$2&amp;"."&amp;$F$2</f>
        <v>*.199.*.*</v>
      </c>
      <c r="J200" s="86" t="str">
        <f>$C$2&amp;"."&amp;$D$2&amp;"."&amp;ROWS($A$1:A199)&amp;"."&amp;$F$2</f>
        <v>*.*.199.*</v>
      </c>
      <c r="K200" s="86" t="str">
        <f>$C$2&amp;"."&amp;$D$2&amp;"."&amp;$E$2&amp;"."&amp;ROWS($A$1:A199)</f>
        <v>*.*.*.199</v>
      </c>
    </row>
    <row r="201" spans="8:11" x14ac:dyDescent="0.2">
      <c r="H201" s="86" t="str">
        <f>ROWS($A$1:A200)&amp;"."&amp;$D$2&amp;"."&amp;$E$2&amp;"."&amp;$F$2</f>
        <v>200.*.*.*</v>
      </c>
      <c r="I201" s="86" t="str">
        <f>$C$2&amp;"."&amp;ROWS($A$1:A200)&amp;"."&amp;$E$2&amp;"."&amp;$F$2</f>
        <v>*.200.*.*</v>
      </c>
      <c r="J201" s="86" t="str">
        <f>$C$2&amp;"."&amp;$D$2&amp;"."&amp;ROWS($A$1:A200)&amp;"."&amp;$F$2</f>
        <v>*.*.200.*</v>
      </c>
      <c r="K201" s="86" t="str">
        <f>$C$2&amp;"."&amp;$D$2&amp;"."&amp;$E$2&amp;"."&amp;ROWS($A$1:A200)</f>
        <v>*.*.*.200</v>
      </c>
    </row>
    <row r="202" spans="8:11" x14ac:dyDescent="0.2">
      <c r="H202" s="86" t="str">
        <f>ROWS($A$1:A201)&amp;"."&amp;$D$2&amp;"."&amp;$E$2&amp;"."&amp;$F$2</f>
        <v>201.*.*.*</v>
      </c>
      <c r="I202" s="86" t="str">
        <f>$C$2&amp;"."&amp;ROWS($A$1:A201)&amp;"."&amp;$E$2&amp;"."&amp;$F$2</f>
        <v>*.201.*.*</v>
      </c>
      <c r="J202" s="86" t="str">
        <f>$C$2&amp;"."&amp;$D$2&amp;"."&amp;ROWS($A$1:A201)&amp;"."&amp;$F$2</f>
        <v>*.*.201.*</v>
      </c>
      <c r="K202" s="86" t="str">
        <f>$C$2&amp;"."&amp;$D$2&amp;"."&amp;$E$2&amp;"."&amp;ROWS($A$1:A201)</f>
        <v>*.*.*.201</v>
      </c>
    </row>
    <row r="203" spans="8:11" x14ac:dyDescent="0.2">
      <c r="H203" s="86" t="str">
        <f>ROWS($A$1:A202)&amp;"."&amp;$D$2&amp;"."&amp;$E$2&amp;"."&amp;$F$2</f>
        <v>202.*.*.*</v>
      </c>
      <c r="I203" s="86" t="str">
        <f>$C$2&amp;"."&amp;ROWS($A$1:A202)&amp;"."&amp;$E$2&amp;"."&amp;$F$2</f>
        <v>*.202.*.*</v>
      </c>
      <c r="J203" s="86" t="str">
        <f>$C$2&amp;"."&amp;$D$2&amp;"."&amp;ROWS($A$1:A202)&amp;"."&amp;$F$2</f>
        <v>*.*.202.*</v>
      </c>
      <c r="K203" s="86" t="str">
        <f>$C$2&amp;"."&amp;$D$2&amp;"."&amp;$E$2&amp;"."&amp;ROWS($A$1:A202)</f>
        <v>*.*.*.202</v>
      </c>
    </row>
    <row r="204" spans="8:11" x14ac:dyDescent="0.2">
      <c r="H204" s="86" t="str">
        <f>ROWS($A$1:A203)&amp;"."&amp;$D$2&amp;"."&amp;$E$2&amp;"."&amp;$F$2</f>
        <v>203.*.*.*</v>
      </c>
      <c r="I204" s="86" t="str">
        <f>$C$2&amp;"."&amp;ROWS($A$1:A203)&amp;"."&amp;$E$2&amp;"."&amp;$F$2</f>
        <v>*.203.*.*</v>
      </c>
      <c r="J204" s="86" t="str">
        <f>$C$2&amp;"."&amp;$D$2&amp;"."&amp;ROWS($A$1:A203)&amp;"."&amp;$F$2</f>
        <v>*.*.203.*</v>
      </c>
      <c r="K204" s="86" t="str">
        <f>$C$2&amp;"."&amp;$D$2&amp;"."&amp;$E$2&amp;"."&amp;ROWS($A$1:A203)</f>
        <v>*.*.*.203</v>
      </c>
    </row>
    <row r="205" spans="8:11" x14ac:dyDescent="0.2">
      <c r="H205" s="86" t="str">
        <f>ROWS($A$1:A204)&amp;"."&amp;$D$2&amp;"."&amp;$E$2&amp;"."&amp;$F$2</f>
        <v>204.*.*.*</v>
      </c>
      <c r="I205" s="86" t="str">
        <f>$C$2&amp;"."&amp;ROWS($A$1:A204)&amp;"."&amp;$E$2&amp;"."&amp;$F$2</f>
        <v>*.204.*.*</v>
      </c>
      <c r="J205" s="86" t="str">
        <f>$C$2&amp;"."&amp;$D$2&amp;"."&amp;ROWS($A$1:A204)&amp;"."&amp;$F$2</f>
        <v>*.*.204.*</v>
      </c>
      <c r="K205" s="86" t="str">
        <f>$C$2&amp;"."&amp;$D$2&amp;"."&amp;$E$2&amp;"."&amp;ROWS($A$1:A204)</f>
        <v>*.*.*.204</v>
      </c>
    </row>
    <row r="206" spans="8:11" x14ac:dyDescent="0.2">
      <c r="H206" s="86" t="str">
        <f>ROWS($A$1:A205)&amp;"."&amp;$D$2&amp;"."&amp;$E$2&amp;"."&amp;$F$2</f>
        <v>205.*.*.*</v>
      </c>
      <c r="I206" s="86" t="str">
        <f>$C$2&amp;"."&amp;ROWS($A$1:A205)&amp;"."&amp;$E$2&amp;"."&amp;$F$2</f>
        <v>*.205.*.*</v>
      </c>
      <c r="J206" s="86" t="str">
        <f>$C$2&amp;"."&amp;$D$2&amp;"."&amp;ROWS($A$1:A205)&amp;"."&amp;$F$2</f>
        <v>*.*.205.*</v>
      </c>
      <c r="K206" s="86" t="str">
        <f>$C$2&amp;"."&amp;$D$2&amp;"."&amp;$E$2&amp;"."&amp;ROWS($A$1:A205)</f>
        <v>*.*.*.205</v>
      </c>
    </row>
    <row r="207" spans="8:11" x14ac:dyDescent="0.2">
      <c r="H207" s="86" t="str">
        <f>ROWS($A$1:A206)&amp;"."&amp;$D$2&amp;"."&amp;$E$2&amp;"."&amp;$F$2</f>
        <v>206.*.*.*</v>
      </c>
      <c r="I207" s="86" t="str">
        <f>$C$2&amp;"."&amp;ROWS($A$1:A206)&amp;"."&amp;$E$2&amp;"."&amp;$F$2</f>
        <v>*.206.*.*</v>
      </c>
      <c r="J207" s="86" t="str">
        <f>$C$2&amp;"."&amp;$D$2&amp;"."&amp;ROWS($A$1:A206)&amp;"."&amp;$F$2</f>
        <v>*.*.206.*</v>
      </c>
      <c r="K207" s="86" t="str">
        <f>$C$2&amp;"."&amp;$D$2&amp;"."&amp;$E$2&amp;"."&amp;ROWS($A$1:A206)</f>
        <v>*.*.*.206</v>
      </c>
    </row>
    <row r="208" spans="8:11" x14ac:dyDescent="0.2">
      <c r="H208" s="86" t="str">
        <f>ROWS($A$1:A207)&amp;"."&amp;$D$2&amp;"."&amp;$E$2&amp;"."&amp;$F$2</f>
        <v>207.*.*.*</v>
      </c>
      <c r="I208" s="86" t="str">
        <f>$C$2&amp;"."&amp;ROWS($A$1:A207)&amp;"."&amp;$E$2&amp;"."&amp;$F$2</f>
        <v>*.207.*.*</v>
      </c>
      <c r="J208" s="86" t="str">
        <f>$C$2&amp;"."&amp;$D$2&amp;"."&amp;ROWS($A$1:A207)&amp;"."&amp;$F$2</f>
        <v>*.*.207.*</v>
      </c>
      <c r="K208" s="86" t="str">
        <f>$C$2&amp;"."&amp;$D$2&amp;"."&amp;$E$2&amp;"."&amp;ROWS($A$1:A207)</f>
        <v>*.*.*.207</v>
      </c>
    </row>
    <row r="209" spans="8:11" x14ac:dyDescent="0.2">
      <c r="H209" s="86" t="str">
        <f>ROWS($A$1:A208)&amp;"."&amp;$D$2&amp;"."&amp;$E$2&amp;"."&amp;$F$2</f>
        <v>208.*.*.*</v>
      </c>
      <c r="I209" s="86" t="str">
        <f>$C$2&amp;"."&amp;ROWS($A$1:A208)&amp;"."&amp;$E$2&amp;"."&amp;$F$2</f>
        <v>*.208.*.*</v>
      </c>
      <c r="J209" s="86" t="str">
        <f>$C$2&amp;"."&amp;$D$2&amp;"."&amp;ROWS($A$1:A208)&amp;"."&amp;$F$2</f>
        <v>*.*.208.*</v>
      </c>
      <c r="K209" s="86" t="str">
        <f>$C$2&amp;"."&amp;$D$2&amp;"."&amp;$E$2&amp;"."&amp;ROWS($A$1:A208)</f>
        <v>*.*.*.208</v>
      </c>
    </row>
    <row r="210" spans="8:11" x14ac:dyDescent="0.2">
      <c r="H210" s="86" t="str">
        <f>ROWS($A$1:A209)&amp;"."&amp;$D$2&amp;"."&amp;$E$2&amp;"."&amp;$F$2</f>
        <v>209.*.*.*</v>
      </c>
      <c r="I210" s="86" t="str">
        <f>$C$2&amp;"."&amp;ROWS($A$1:A209)&amp;"."&amp;$E$2&amp;"."&amp;$F$2</f>
        <v>*.209.*.*</v>
      </c>
      <c r="J210" s="86" t="str">
        <f>$C$2&amp;"."&amp;$D$2&amp;"."&amp;ROWS($A$1:A209)&amp;"."&amp;$F$2</f>
        <v>*.*.209.*</v>
      </c>
      <c r="K210" s="86" t="str">
        <f>$C$2&amp;"."&amp;$D$2&amp;"."&amp;$E$2&amp;"."&amp;ROWS($A$1:A209)</f>
        <v>*.*.*.209</v>
      </c>
    </row>
    <row r="211" spans="8:11" x14ac:dyDescent="0.2">
      <c r="H211" s="86" t="str">
        <f>ROWS($A$1:A210)&amp;"."&amp;$D$2&amp;"."&amp;$E$2&amp;"."&amp;$F$2</f>
        <v>210.*.*.*</v>
      </c>
      <c r="I211" s="86" t="str">
        <f>$C$2&amp;"."&amp;ROWS($A$1:A210)&amp;"."&amp;$E$2&amp;"."&amp;$F$2</f>
        <v>*.210.*.*</v>
      </c>
      <c r="J211" s="86" t="str">
        <f>$C$2&amp;"."&amp;$D$2&amp;"."&amp;ROWS($A$1:A210)&amp;"."&amp;$F$2</f>
        <v>*.*.210.*</v>
      </c>
      <c r="K211" s="86" t="str">
        <f>$C$2&amp;"."&amp;$D$2&amp;"."&amp;$E$2&amp;"."&amp;ROWS($A$1:A210)</f>
        <v>*.*.*.210</v>
      </c>
    </row>
    <row r="212" spans="8:11" x14ac:dyDescent="0.2">
      <c r="H212" s="86" t="str">
        <f>ROWS($A$1:A211)&amp;"."&amp;$D$2&amp;"."&amp;$E$2&amp;"."&amp;$F$2</f>
        <v>211.*.*.*</v>
      </c>
      <c r="I212" s="86" t="str">
        <f>$C$2&amp;"."&amp;ROWS($A$1:A211)&amp;"."&amp;$E$2&amp;"."&amp;$F$2</f>
        <v>*.211.*.*</v>
      </c>
      <c r="J212" s="86" t="str">
        <f>$C$2&amp;"."&amp;$D$2&amp;"."&amp;ROWS($A$1:A211)&amp;"."&amp;$F$2</f>
        <v>*.*.211.*</v>
      </c>
      <c r="K212" s="86" t="str">
        <f>$C$2&amp;"."&amp;$D$2&amp;"."&amp;$E$2&amp;"."&amp;ROWS($A$1:A211)</f>
        <v>*.*.*.211</v>
      </c>
    </row>
    <row r="213" spans="8:11" x14ac:dyDescent="0.2">
      <c r="H213" s="86" t="str">
        <f>ROWS($A$1:A212)&amp;"."&amp;$D$2&amp;"."&amp;$E$2&amp;"."&amp;$F$2</f>
        <v>212.*.*.*</v>
      </c>
      <c r="I213" s="86" t="str">
        <f>$C$2&amp;"."&amp;ROWS($A$1:A212)&amp;"."&amp;$E$2&amp;"."&amp;$F$2</f>
        <v>*.212.*.*</v>
      </c>
      <c r="J213" s="86" t="str">
        <f>$C$2&amp;"."&amp;$D$2&amp;"."&amp;ROWS($A$1:A212)&amp;"."&amp;$F$2</f>
        <v>*.*.212.*</v>
      </c>
      <c r="K213" s="86" t="str">
        <f>$C$2&amp;"."&amp;$D$2&amp;"."&amp;$E$2&amp;"."&amp;ROWS($A$1:A212)</f>
        <v>*.*.*.212</v>
      </c>
    </row>
    <row r="214" spans="8:11" x14ac:dyDescent="0.2">
      <c r="H214" s="86" t="str">
        <f>ROWS($A$1:A213)&amp;"."&amp;$D$2&amp;"."&amp;$E$2&amp;"."&amp;$F$2</f>
        <v>213.*.*.*</v>
      </c>
      <c r="I214" s="86" t="str">
        <f>$C$2&amp;"."&amp;ROWS($A$1:A213)&amp;"."&amp;$E$2&amp;"."&amp;$F$2</f>
        <v>*.213.*.*</v>
      </c>
      <c r="J214" s="86" t="str">
        <f>$C$2&amp;"."&amp;$D$2&amp;"."&amp;ROWS($A$1:A213)&amp;"."&amp;$F$2</f>
        <v>*.*.213.*</v>
      </c>
      <c r="K214" s="86" t="str">
        <f>$C$2&amp;"."&amp;$D$2&amp;"."&amp;$E$2&amp;"."&amp;ROWS($A$1:A213)</f>
        <v>*.*.*.213</v>
      </c>
    </row>
    <row r="215" spans="8:11" x14ac:dyDescent="0.2">
      <c r="H215" s="86" t="str">
        <f>ROWS($A$1:A214)&amp;"."&amp;$D$2&amp;"."&amp;$E$2&amp;"."&amp;$F$2</f>
        <v>214.*.*.*</v>
      </c>
      <c r="I215" s="86" t="str">
        <f>$C$2&amp;"."&amp;ROWS($A$1:A214)&amp;"."&amp;$E$2&amp;"."&amp;$F$2</f>
        <v>*.214.*.*</v>
      </c>
      <c r="J215" s="86" t="str">
        <f>$C$2&amp;"."&amp;$D$2&amp;"."&amp;ROWS($A$1:A214)&amp;"."&amp;$F$2</f>
        <v>*.*.214.*</v>
      </c>
      <c r="K215" s="86" t="str">
        <f>$C$2&amp;"."&amp;$D$2&amp;"."&amp;$E$2&amp;"."&amp;ROWS($A$1:A214)</f>
        <v>*.*.*.214</v>
      </c>
    </row>
    <row r="216" spans="8:11" x14ac:dyDescent="0.2">
      <c r="H216" s="86" t="str">
        <f>ROWS($A$1:A215)&amp;"."&amp;$D$2&amp;"."&amp;$E$2&amp;"."&amp;$F$2</f>
        <v>215.*.*.*</v>
      </c>
      <c r="I216" s="86" t="str">
        <f>$C$2&amp;"."&amp;ROWS($A$1:A215)&amp;"."&amp;$E$2&amp;"."&amp;$F$2</f>
        <v>*.215.*.*</v>
      </c>
      <c r="J216" s="86" t="str">
        <f>$C$2&amp;"."&amp;$D$2&amp;"."&amp;ROWS($A$1:A215)&amp;"."&amp;$F$2</f>
        <v>*.*.215.*</v>
      </c>
      <c r="K216" s="86" t="str">
        <f>$C$2&amp;"."&amp;$D$2&amp;"."&amp;$E$2&amp;"."&amp;ROWS($A$1:A215)</f>
        <v>*.*.*.215</v>
      </c>
    </row>
    <row r="217" spans="8:11" x14ac:dyDescent="0.2">
      <c r="H217" s="86" t="str">
        <f>ROWS($A$1:A216)&amp;"."&amp;$D$2&amp;"."&amp;$E$2&amp;"."&amp;$F$2</f>
        <v>216.*.*.*</v>
      </c>
      <c r="I217" s="86" t="str">
        <f>$C$2&amp;"."&amp;ROWS($A$1:A216)&amp;"."&amp;$E$2&amp;"."&amp;$F$2</f>
        <v>*.216.*.*</v>
      </c>
      <c r="J217" s="86" t="str">
        <f>$C$2&amp;"."&amp;$D$2&amp;"."&amp;ROWS($A$1:A216)&amp;"."&amp;$F$2</f>
        <v>*.*.216.*</v>
      </c>
      <c r="K217" s="86" t="str">
        <f>$C$2&amp;"."&amp;$D$2&amp;"."&amp;$E$2&amp;"."&amp;ROWS($A$1:A216)</f>
        <v>*.*.*.216</v>
      </c>
    </row>
    <row r="218" spans="8:11" x14ac:dyDescent="0.2">
      <c r="H218" s="86" t="str">
        <f>ROWS($A$1:A217)&amp;"."&amp;$D$2&amp;"."&amp;$E$2&amp;"."&amp;$F$2</f>
        <v>217.*.*.*</v>
      </c>
      <c r="I218" s="86" t="str">
        <f>$C$2&amp;"."&amp;ROWS($A$1:A217)&amp;"."&amp;$E$2&amp;"."&amp;$F$2</f>
        <v>*.217.*.*</v>
      </c>
      <c r="J218" s="86" t="str">
        <f>$C$2&amp;"."&amp;$D$2&amp;"."&amp;ROWS($A$1:A217)&amp;"."&amp;$F$2</f>
        <v>*.*.217.*</v>
      </c>
      <c r="K218" s="86" t="str">
        <f>$C$2&amp;"."&amp;$D$2&amp;"."&amp;$E$2&amp;"."&amp;ROWS($A$1:A217)</f>
        <v>*.*.*.217</v>
      </c>
    </row>
    <row r="219" spans="8:11" x14ac:dyDescent="0.2">
      <c r="H219" s="86" t="str">
        <f>ROWS($A$1:A218)&amp;"."&amp;$D$2&amp;"."&amp;$E$2&amp;"."&amp;$F$2</f>
        <v>218.*.*.*</v>
      </c>
      <c r="I219" s="86" t="str">
        <f>$C$2&amp;"."&amp;ROWS($A$1:A218)&amp;"."&amp;$E$2&amp;"."&amp;$F$2</f>
        <v>*.218.*.*</v>
      </c>
      <c r="J219" s="86" t="str">
        <f>$C$2&amp;"."&amp;$D$2&amp;"."&amp;ROWS($A$1:A218)&amp;"."&amp;$F$2</f>
        <v>*.*.218.*</v>
      </c>
      <c r="K219" s="86" t="str">
        <f>$C$2&amp;"."&amp;$D$2&amp;"."&amp;$E$2&amp;"."&amp;ROWS($A$1:A218)</f>
        <v>*.*.*.218</v>
      </c>
    </row>
    <row r="220" spans="8:11" x14ac:dyDescent="0.2">
      <c r="H220" s="86" t="str">
        <f>ROWS($A$1:A219)&amp;"."&amp;$D$2&amp;"."&amp;$E$2&amp;"."&amp;$F$2</f>
        <v>219.*.*.*</v>
      </c>
      <c r="I220" s="86" t="str">
        <f>$C$2&amp;"."&amp;ROWS($A$1:A219)&amp;"."&amp;$E$2&amp;"."&amp;$F$2</f>
        <v>*.219.*.*</v>
      </c>
      <c r="J220" s="86" t="str">
        <f>$C$2&amp;"."&amp;$D$2&amp;"."&amp;ROWS($A$1:A219)&amp;"."&amp;$F$2</f>
        <v>*.*.219.*</v>
      </c>
      <c r="K220" s="86" t="str">
        <f>$C$2&amp;"."&amp;$D$2&amp;"."&amp;$E$2&amp;"."&amp;ROWS($A$1:A219)</f>
        <v>*.*.*.219</v>
      </c>
    </row>
    <row r="221" spans="8:11" x14ac:dyDescent="0.2">
      <c r="H221" s="86" t="str">
        <f>ROWS($A$1:A220)&amp;"."&amp;$D$2&amp;"."&amp;$E$2&amp;"."&amp;$F$2</f>
        <v>220.*.*.*</v>
      </c>
      <c r="I221" s="86" t="str">
        <f>$C$2&amp;"."&amp;ROWS($A$1:A220)&amp;"."&amp;$E$2&amp;"."&amp;$F$2</f>
        <v>*.220.*.*</v>
      </c>
      <c r="J221" s="86" t="str">
        <f>$C$2&amp;"."&amp;$D$2&amp;"."&amp;ROWS($A$1:A220)&amp;"."&amp;$F$2</f>
        <v>*.*.220.*</v>
      </c>
      <c r="K221" s="86" t="str">
        <f>$C$2&amp;"."&amp;$D$2&amp;"."&amp;$E$2&amp;"."&amp;ROWS($A$1:A220)</f>
        <v>*.*.*.220</v>
      </c>
    </row>
    <row r="222" spans="8:11" x14ac:dyDescent="0.2">
      <c r="H222" s="86" t="str">
        <f>ROWS($A$1:A221)&amp;"."&amp;$D$2&amp;"."&amp;$E$2&amp;"."&amp;$F$2</f>
        <v>221.*.*.*</v>
      </c>
      <c r="I222" s="86" t="str">
        <f>$C$2&amp;"."&amp;ROWS($A$1:A221)&amp;"."&amp;$E$2&amp;"."&amp;$F$2</f>
        <v>*.221.*.*</v>
      </c>
      <c r="J222" s="86" t="str">
        <f>$C$2&amp;"."&amp;$D$2&amp;"."&amp;ROWS($A$1:A221)&amp;"."&amp;$F$2</f>
        <v>*.*.221.*</v>
      </c>
      <c r="K222" s="86" t="str">
        <f>$C$2&amp;"."&amp;$D$2&amp;"."&amp;$E$2&amp;"."&amp;ROWS($A$1:A221)</f>
        <v>*.*.*.221</v>
      </c>
    </row>
    <row r="223" spans="8:11" x14ac:dyDescent="0.2">
      <c r="H223" s="86" t="str">
        <f>ROWS($A$1:A222)&amp;"."&amp;$D$2&amp;"."&amp;$E$2&amp;"."&amp;$F$2</f>
        <v>222.*.*.*</v>
      </c>
      <c r="I223" s="86" t="str">
        <f>$C$2&amp;"."&amp;ROWS($A$1:A222)&amp;"."&amp;$E$2&amp;"."&amp;$F$2</f>
        <v>*.222.*.*</v>
      </c>
      <c r="J223" s="86" t="str">
        <f>$C$2&amp;"."&amp;$D$2&amp;"."&amp;ROWS($A$1:A222)&amp;"."&amp;$F$2</f>
        <v>*.*.222.*</v>
      </c>
      <c r="K223" s="86" t="str">
        <f>$C$2&amp;"."&amp;$D$2&amp;"."&amp;$E$2&amp;"."&amp;ROWS($A$1:A222)</f>
        <v>*.*.*.222</v>
      </c>
    </row>
    <row r="224" spans="8:11" x14ac:dyDescent="0.2">
      <c r="H224" s="86" t="str">
        <f>ROWS($A$1:A223)&amp;"."&amp;$D$2&amp;"."&amp;$E$2&amp;"."&amp;$F$2</f>
        <v>223.*.*.*</v>
      </c>
      <c r="I224" s="86" t="str">
        <f>$C$2&amp;"."&amp;ROWS($A$1:A223)&amp;"."&amp;$E$2&amp;"."&amp;$F$2</f>
        <v>*.223.*.*</v>
      </c>
      <c r="J224" s="86" t="str">
        <f>$C$2&amp;"."&amp;$D$2&amp;"."&amp;ROWS($A$1:A223)&amp;"."&amp;$F$2</f>
        <v>*.*.223.*</v>
      </c>
      <c r="K224" s="86" t="str">
        <f>$C$2&amp;"."&amp;$D$2&amp;"."&amp;$E$2&amp;"."&amp;ROWS($A$1:A223)</f>
        <v>*.*.*.223</v>
      </c>
    </row>
    <row r="225" spans="8:11" x14ac:dyDescent="0.2">
      <c r="H225" s="86" t="str">
        <f>ROWS($A$1:A224)&amp;"."&amp;$D$2&amp;"."&amp;$E$2&amp;"."&amp;$F$2</f>
        <v>224.*.*.*</v>
      </c>
      <c r="I225" s="86" t="str">
        <f>$C$2&amp;"."&amp;ROWS($A$1:A224)&amp;"."&amp;$E$2&amp;"."&amp;$F$2</f>
        <v>*.224.*.*</v>
      </c>
      <c r="J225" s="86" t="str">
        <f>$C$2&amp;"."&amp;$D$2&amp;"."&amp;ROWS($A$1:A224)&amp;"."&amp;$F$2</f>
        <v>*.*.224.*</v>
      </c>
      <c r="K225" s="86" t="str">
        <f>$C$2&amp;"."&amp;$D$2&amp;"."&amp;$E$2&amp;"."&amp;ROWS($A$1:A224)</f>
        <v>*.*.*.224</v>
      </c>
    </row>
    <row r="226" spans="8:11" x14ac:dyDescent="0.2">
      <c r="H226" s="86" t="str">
        <f>ROWS($A$1:A225)&amp;"."&amp;$D$2&amp;"."&amp;$E$2&amp;"."&amp;$F$2</f>
        <v>225.*.*.*</v>
      </c>
      <c r="I226" s="86" t="str">
        <f>$C$2&amp;"."&amp;ROWS($A$1:A225)&amp;"."&amp;$E$2&amp;"."&amp;$F$2</f>
        <v>*.225.*.*</v>
      </c>
      <c r="J226" s="86" t="str">
        <f>$C$2&amp;"."&amp;$D$2&amp;"."&amp;ROWS($A$1:A225)&amp;"."&amp;$F$2</f>
        <v>*.*.225.*</v>
      </c>
      <c r="K226" s="86" t="str">
        <f>$C$2&amp;"."&amp;$D$2&amp;"."&amp;$E$2&amp;"."&amp;ROWS($A$1:A225)</f>
        <v>*.*.*.225</v>
      </c>
    </row>
    <row r="227" spans="8:11" x14ac:dyDescent="0.2">
      <c r="H227" s="86" t="str">
        <f>ROWS($A$1:A226)&amp;"."&amp;$D$2&amp;"."&amp;$E$2&amp;"."&amp;$F$2</f>
        <v>226.*.*.*</v>
      </c>
      <c r="I227" s="86" t="str">
        <f>$C$2&amp;"."&amp;ROWS($A$1:A226)&amp;"."&amp;$E$2&amp;"."&amp;$F$2</f>
        <v>*.226.*.*</v>
      </c>
      <c r="J227" s="86" t="str">
        <f>$C$2&amp;"."&amp;$D$2&amp;"."&amp;ROWS($A$1:A226)&amp;"."&amp;$F$2</f>
        <v>*.*.226.*</v>
      </c>
      <c r="K227" s="86" t="str">
        <f>$C$2&amp;"."&amp;$D$2&amp;"."&amp;$E$2&amp;"."&amp;ROWS($A$1:A226)</f>
        <v>*.*.*.226</v>
      </c>
    </row>
    <row r="228" spans="8:11" x14ac:dyDescent="0.2">
      <c r="H228" s="86" t="str">
        <f>ROWS($A$1:A227)&amp;"."&amp;$D$2&amp;"."&amp;$E$2&amp;"."&amp;$F$2</f>
        <v>227.*.*.*</v>
      </c>
      <c r="I228" s="86" t="str">
        <f>$C$2&amp;"."&amp;ROWS($A$1:A227)&amp;"."&amp;$E$2&amp;"."&amp;$F$2</f>
        <v>*.227.*.*</v>
      </c>
      <c r="J228" s="86" t="str">
        <f>$C$2&amp;"."&amp;$D$2&amp;"."&amp;ROWS($A$1:A227)&amp;"."&amp;$F$2</f>
        <v>*.*.227.*</v>
      </c>
      <c r="K228" s="86" t="str">
        <f>$C$2&amp;"."&amp;$D$2&amp;"."&amp;$E$2&amp;"."&amp;ROWS($A$1:A227)</f>
        <v>*.*.*.227</v>
      </c>
    </row>
    <row r="229" spans="8:11" x14ac:dyDescent="0.2">
      <c r="H229" s="86" t="str">
        <f>ROWS($A$1:A228)&amp;"."&amp;$D$2&amp;"."&amp;$E$2&amp;"."&amp;$F$2</f>
        <v>228.*.*.*</v>
      </c>
      <c r="I229" s="86" t="str">
        <f>$C$2&amp;"."&amp;ROWS($A$1:A228)&amp;"."&amp;$E$2&amp;"."&amp;$F$2</f>
        <v>*.228.*.*</v>
      </c>
      <c r="J229" s="86" t="str">
        <f>$C$2&amp;"."&amp;$D$2&amp;"."&amp;ROWS($A$1:A228)&amp;"."&amp;$F$2</f>
        <v>*.*.228.*</v>
      </c>
      <c r="K229" s="86" t="str">
        <f>$C$2&amp;"."&amp;$D$2&amp;"."&amp;$E$2&amp;"."&amp;ROWS($A$1:A228)</f>
        <v>*.*.*.228</v>
      </c>
    </row>
    <row r="230" spans="8:11" x14ac:dyDescent="0.2">
      <c r="H230" s="86" t="str">
        <f>ROWS($A$1:A229)&amp;"."&amp;$D$2&amp;"."&amp;$E$2&amp;"."&amp;$F$2</f>
        <v>229.*.*.*</v>
      </c>
      <c r="I230" s="86" t="str">
        <f>$C$2&amp;"."&amp;ROWS($A$1:A229)&amp;"."&amp;$E$2&amp;"."&amp;$F$2</f>
        <v>*.229.*.*</v>
      </c>
      <c r="J230" s="86" t="str">
        <f>$C$2&amp;"."&amp;$D$2&amp;"."&amp;ROWS($A$1:A229)&amp;"."&amp;$F$2</f>
        <v>*.*.229.*</v>
      </c>
      <c r="K230" s="86" t="str">
        <f>$C$2&amp;"."&amp;$D$2&amp;"."&amp;$E$2&amp;"."&amp;ROWS($A$1:A229)</f>
        <v>*.*.*.229</v>
      </c>
    </row>
    <row r="231" spans="8:11" x14ac:dyDescent="0.2">
      <c r="H231" s="86" t="str">
        <f>ROWS($A$1:A230)&amp;"."&amp;$D$2&amp;"."&amp;$E$2&amp;"."&amp;$F$2</f>
        <v>230.*.*.*</v>
      </c>
      <c r="I231" s="86" t="str">
        <f>$C$2&amp;"."&amp;ROWS($A$1:A230)&amp;"."&amp;$E$2&amp;"."&amp;$F$2</f>
        <v>*.230.*.*</v>
      </c>
      <c r="J231" s="86" t="str">
        <f>$C$2&amp;"."&amp;$D$2&amp;"."&amp;ROWS($A$1:A230)&amp;"."&amp;$F$2</f>
        <v>*.*.230.*</v>
      </c>
      <c r="K231" s="86" t="str">
        <f>$C$2&amp;"."&amp;$D$2&amp;"."&amp;$E$2&amp;"."&amp;ROWS($A$1:A230)</f>
        <v>*.*.*.230</v>
      </c>
    </row>
    <row r="232" spans="8:11" x14ac:dyDescent="0.2">
      <c r="H232" s="86" t="str">
        <f>ROWS($A$1:A231)&amp;"."&amp;$D$2&amp;"."&amp;$E$2&amp;"."&amp;$F$2</f>
        <v>231.*.*.*</v>
      </c>
      <c r="I232" s="86" t="str">
        <f>$C$2&amp;"."&amp;ROWS($A$1:A231)&amp;"."&amp;$E$2&amp;"."&amp;$F$2</f>
        <v>*.231.*.*</v>
      </c>
      <c r="J232" s="86" t="str">
        <f>$C$2&amp;"."&amp;$D$2&amp;"."&amp;ROWS($A$1:A231)&amp;"."&amp;$F$2</f>
        <v>*.*.231.*</v>
      </c>
      <c r="K232" s="86" t="str">
        <f>$C$2&amp;"."&amp;$D$2&amp;"."&amp;$E$2&amp;"."&amp;ROWS($A$1:A231)</f>
        <v>*.*.*.231</v>
      </c>
    </row>
    <row r="233" spans="8:11" x14ac:dyDescent="0.2">
      <c r="H233" s="86" t="str">
        <f>ROWS($A$1:A232)&amp;"."&amp;$D$2&amp;"."&amp;$E$2&amp;"."&amp;$F$2</f>
        <v>232.*.*.*</v>
      </c>
      <c r="I233" s="86" t="str">
        <f>$C$2&amp;"."&amp;ROWS($A$1:A232)&amp;"."&amp;$E$2&amp;"."&amp;$F$2</f>
        <v>*.232.*.*</v>
      </c>
      <c r="J233" s="86" t="str">
        <f>$C$2&amp;"."&amp;$D$2&amp;"."&amp;ROWS($A$1:A232)&amp;"."&amp;$F$2</f>
        <v>*.*.232.*</v>
      </c>
      <c r="K233" s="86" t="str">
        <f>$C$2&amp;"."&amp;$D$2&amp;"."&amp;$E$2&amp;"."&amp;ROWS($A$1:A232)</f>
        <v>*.*.*.232</v>
      </c>
    </row>
    <row r="234" spans="8:11" x14ac:dyDescent="0.2">
      <c r="H234" s="86" t="str">
        <f>ROWS($A$1:A233)&amp;"."&amp;$D$2&amp;"."&amp;$E$2&amp;"."&amp;$F$2</f>
        <v>233.*.*.*</v>
      </c>
      <c r="I234" s="86" t="str">
        <f>$C$2&amp;"."&amp;ROWS($A$1:A233)&amp;"."&amp;$E$2&amp;"."&amp;$F$2</f>
        <v>*.233.*.*</v>
      </c>
      <c r="J234" s="86" t="str">
        <f>$C$2&amp;"."&amp;$D$2&amp;"."&amp;ROWS($A$1:A233)&amp;"."&amp;$F$2</f>
        <v>*.*.233.*</v>
      </c>
      <c r="K234" s="86" t="str">
        <f>$C$2&amp;"."&amp;$D$2&amp;"."&amp;$E$2&amp;"."&amp;ROWS($A$1:A233)</f>
        <v>*.*.*.233</v>
      </c>
    </row>
    <row r="235" spans="8:11" x14ac:dyDescent="0.2">
      <c r="H235" s="86" t="str">
        <f>ROWS($A$1:A234)&amp;"."&amp;$D$2&amp;"."&amp;$E$2&amp;"."&amp;$F$2</f>
        <v>234.*.*.*</v>
      </c>
      <c r="I235" s="86" t="str">
        <f>$C$2&amp;"."&amp;ROWS($A$1:A234)&amp;"."&amp;$E$2&amp;"."&amp;$F$2</f>
        <v>*.234.*.*</v>
      </c>
      <c r="J235" s="86" t="str">
        <f>$C$2&amp;"."&amp;$D$2&amp;"."&amp;ROWS($A$1:A234)&amp;"."&amp;$F$2</f>
        <v>*.*.234.*</v>
      </c>
      <c r="K235" s="86" t="str">
        <f>$C$2&amp;"."&amp;$D$2&amp;"."&amp;$E$2&amp;"."&amp;ROWS($A$1:A234)</f>
        <v>*.*.*.234</v>
      </c>
    </row>
    <row r="236" spans="8:11" x14ac:dyDescent="0.2">
      <c r="H236" s="86" t="str">
        <f>ROWS($A$1:A235)&amp;"."&amp;$D$2&amp;"."&amp;$E$2&amp;"."&amp;$F$2</f>
        <v>235.*.*.*</v>
      </c>
      <c r="I236" s="86" t="str">
        <f>$C$2&amp;"."&amp;ROWS($A$1:A235)&amp;"."&amp;$E$2&amp;"."&amp;$F$2</f>
        <v>*.235.*.*</v>
      </c>
      <c r="J236" s="86" t="str">
        <f>$C$2&amp;"."&amp;$D$2&amp;"."&amp;ROWS($A$1:A235)&amp;"."&amp;$F$2</f>
        <v>*.*.235.*</v>
      </c>
      <c r="K236" s="86" t="str">
        <f>$C$2&amp;"."&amp;$D$2&amp;"."&amp;$E$2&amp;"."&amp;ROWS($A$1:A235)</f>
        <v>*.*.*.235</v>
      </c>
    </row>
    <row r="237" spans="8:11" x14ac:dyDescent="0.2">
      <c r="H237" s="86" t="str">
        <f>ROWS($A$1:A236)&amp;"."&amp;$D$2&amp;"."&amp;$E$2&amp;"."&amp;$F$2</f>
        <v>236.*.*.*</v>
      </c>
      <c r="I237" s="86" t="str">
        <f>$C$2&amp;"."&amp;ROWS($A$1:A236)&amp;"."&amp;$E$2&amp;"."&amp;$F$2</f>
        <v>*.236.*.*</v>
      </c>
      <c r="J237" s="86" t="str">
        <f>$C$2&amp;"."&amp;$D$2&amp;"."&amp;ROWS($A$1:A236)&amp;"."&amp;$F$2</f>
        <v>*.*.236.*</v>
      </c>
      <c r="K237" s="86" t="str">
        <f>$C$2&amp;"."&amp;$D$2&amp;"."&amp;$E$2&amp;"."&amp;ROWS($A$1:A236)</f>
        <v>*.*.*.236</v>
      </c>
    </row>
    <row r="238" spans="8:11" x14ac:dyDescent="0.2">
      <c r="H238" s="86" t="str">
        <f>ROWS($A$1:A237)&amp;"."&amp;$D$2&amp;"."&amp;$E$2&amp;"."&amp;$F$2</f>
        <v>237.*.*.*</v>
      </c>
      <c r="I238" s="86" t="str">
        <f>$C$2&amp;"."&amp;ROWS($A$1:A237)&amp;"."&amp;$E$2&amp;"."&amp;$F$2</f>
        <v>*.237.*.*</v>
      </c>
      <c r="J238" s="86" t="str">
        <f>$C$2&amp;"."&amp;$D$2&amp;"."&amp;ROWS($A$1:A237)&amp;"."&amp;$F$2</f>
        <v>*.*.237.*</v>
      </c>
      <c r="K238" s="86" t="str">
        <f>$C$2&amp;"."&amp;$D$2&amp;"."&amp;$E$2&amp;"."&amp;ROWS($A$1:A237)</f>
        <v>*.*.*.237</v>
      </c>
    </row>
    <row r="239" spans="8:11" x14ac:dyDescent="0.2">
      <c r="H239" s="86" t="str">
        <f>ROWS($A$1:A238)&amp;"."&amp;$D$2&amp;"."&amp;$E$2&amp;"."&amp;$F$2</f>
        <v>238.*.*.*</v>
      </c>
      <c r="I239" s="86" t="str">
        <f>$C$2&amp;"."&amp;ROWS($A$1:A238)&amp;"."&amp;$E$2&amp;"."&amp;$F$2</f>
        <v>*.238.*.*</v>
      </c>
      <c r="J239" s="86" t="str">
        <f>$C$2&amp;"."&amp;$D$2&amp;"."&amp;ROWS($A$1:A238)&amp;"."&amp;$F$2</f>
        <v>*.*.238.*</v>
      </c>
      <c r="K239" s="86" t="str">
        <f>$C$2&amp;"."&amp;$D$2&amp;"."&amp;$E$2&amp;"."&amp;ROWS($A$1:A238)</f>
        <v>*.*.*.238</v>
      </c>
    </row>
    <row r="240" spans="8:11" x14ac:dyDescent="0.2">
      <c r="H240" s="86" t="str">
        <f>ROWS($A$1:A239)&amp;"."&amp;$D$2&amp;"."&amp;$E$2&amp;"."&amp;$F$2</f>
        <v>239.*.*.*</v>
      </c>
      <c r="I240" s="86" t="str">
        <f>$C$2&amp;"."&amp;ROWS($A$1:A239)&amp;"."&amp;$E$2&amp;"."&amp;$F$2</f>
        <v>*.239.*.*</v>
      </c>
      <c r="J240" s="86" t="str">
        <f>$C$2&amp;"."&amp;$D$2&amp;"."&amp;ROWS($A$1:A239)&amp;"."&amp;$F$2</f>
        <v>*.*.239.*</v>
      </c>
      <c r="K240" s="86" t="str">
        <f>$C$2&amp;"."&amp;$D$2&amp;"."&amp;$E$2&amp;"."&amp;ROWS($A$1:A239)</f>
        <v>*.*.*.239</v>
      </c>
    </row>
    <row r="241" spans="8:11" x14ac:dyDescent="0.2">
      <c r="H241" s="86" t="str">
        <f>ROWS($A$1:A240)&amp;"."&amp;$D$2&amp;"."&amp;$E$2&amp;"."&amp;$F$2</f>
        <v>240.*.*.*</v>
      </c>
      <c r="I241" s="86" t="str">
        <f>$C$2&amp;"."&amp;ROWS($A$1:A240)&amp;"."&amp;$E$2&amp;"."&amp;$F$2</f>
        <v>*.240.*.*</v>
      </c>
      <c r="J241" s="86" t="str">
        <f>$C$2&amp;"."&amp;$D$2&amp;"."&amp;ROWS($A$1:A240)&amp;"."&amp;$F$2</f>
        <v>*.*.240.*</v>
      </c>
      <c r="K241" s="86" t="str">
        <f>$C$2&amp;"."&amp;$D$2&amp;"."&amp;$E$2&amp;"."&amp;ROWS($A$1:A240)</f>
        <v>*.*.*.240</v>
      </c>
    </row>
    <row r="242" spans="8:11" x14ac:dyDescent="0.2">
      <c r="H242" s="86" t="str">
        <f>ROWS($A$1:A241)&amp;"."&amp;$D$2&amp;"."&amp;$E$2&amp;"."&amp;$F$2</f>
        <v>241.*.*.*</v>
      </c>
      <c r="I242" s="86" t="str">
        <f>$C$2&amp;"."&amp;ROWS($A$1:A241)&amp;"."&amp;$E$2&amp;"."&amp;$F$2</f>
        <v>*.241.*.*</v>
      </c>
      <c r="J242" s="86" t="str">
        <f>$C$2&amp;"."&amp;$D$2&amp;"."&amp;ROWS($A$1:A241)&amp;"."&amp;$F$2</f>
        <v>*.*.241.*</v>
      </c>
      <c r="K242" s="86" t="str">
        <f>$C$2&amp;"."&amp;$D$2&amp;"."&amp;$E$2&amp;"."&amp;ROWS($A$1:A241)</f>
        <v>*.*.*.241</v>
      </c>
    </row>
    <row r="243" spans="8:11" x14ac:dyDescent="0.2">
      <c r="H243" s="86" t="str">
        <f>ROWS($A$1:A242)&amp;"."&amp;$D$2&amp;"."&amp;$E$2&amp;"."&amp;$F$2</f>
        <v>242.*.*.*</v>
      </c>
      <c r="I243" s="86" t="str">
        <f>$C$2&amp;"."&amp;ROWS($A$1:A242)&amp;"."&amp;$E$2&amp;"."&amp;$F$2</f>
        <v>*.242.*.*</v>
      </c>
      <c r="J243" s="86" t="str">
        <f>$C$2&amp;"."&amp;$D$2&amp;"."&amp;ROWS($A$1:A242)&amp;"."&amp;$F$2</f>
        <v>*.*.242.*</v>
      </c>
      <c r="K243" s="86" t="str">
        <f>$C$2&amp;"."&amp;$D$2&amp;"."&amp;$E$2&amp;"."&amp;ROWS($A$1:A242)</f>
        <v>*.*.*.242</v>
      </c>
    </row>
    <row r="244" spans="8:11" x14ac:dyDescent="0.2">
      <c r="H244" s="86" t="str">
        <f>ROWS($A$1:A243)&amp;"."&amp;$D$2&amp;"."&amp;$E$2&amp;"."&amp;$F$2</f>
        <v>243.*.*.*</v>
      </c>
      <c r="I244" s="86" t="str">
        <f>$C$2&amp;"."&amp;ROWS($A$1:A243)&amp;"."&amp;$E$2&amp;"."&amp;$F$2</f>
        <v>*.243.*.*</v>
      </c>
      <c r="J244" s="86" t="str">
        <f>$C$2&amp;"."&amp;$D$2&amp;"."&amp;ROWS($A$1:A243)&amp;"."&amp;$F$2</f>
        <v>*.*.243.*</v>
      </c>
      <c r="K244" s="86" t="str">
        <f>$C$2&amp;"."&amp;$D$2&amp;"."&amp;$E$2&amp;"."&amp;ROWS($A$1:A243)</f>
        <v>*.*.*.243</v>
      </c>
    </row>
    <row r="245" spans="8:11" x14ac:dyDescent="0.2">
      <c r="H245" s="86" t="str">
        <f>ROWS($A$1:A244)&amp;"."&amp;$D$2&amp;"."&amp;$E$2&amp;"."&amp;$F$2</f>
        <v>244.*.*.*</v>
      </c>
      <c r="I245" s="86" t="str">
        <f>$C$2&amp;"."&amp;ROWS($A$1:A244)&amp;"."&amp;$E$2&amp;"."&amp;$F$2</f>
        <v>*.244.*.*</v>
      </c>
      <c r="J245" s="86" t="str">
        <f>$C$2&amp;"."&amp;$D$2&amp;"."&amp;ROWS($A$1:A244)&amp;"."&amp;$F$2</f>
        <v>*.*.244.*</v>
      </c>
      <c r="K245" s="86" t="str">
        <f>$C$2&amp;"."&amp;$D$2&amp;"."&amp;$E$2&amp;"."&amp;ROWS($A$1:A244)</f>
        <v>*.*.*.244</v>
      </c>
    </row>
    <row r="246" spans="8:11" x14ac:dyDescent="0.2">
      <c r="H246" s="86" t="str">
        <f>ROWS($A$1:A245)&amp;"."&amp;$D$2&amp;"."&amp;$E$2&amp;"."&amp;$F$2</f>
        <v>245.*.*.*</v>
      </c>
      <c r="I246" s="86" t="str">
        <f>$C$2&amp;"."&amp;ROWS($A$1:A245)&amp;"."&amp;$E$2&amp;"."&amp;$F$2</f>
        <v>*.245.*.*</v>
      </c>
      <c r="J246" s="86" t="str">
        <f>$C$2&amp;"."&amp;$D$2&amp;"."&amp;ROWS($A$1:A245)&amp;"."&amp;$F$2</f>
        <v>*.*.245.*</v>
      </c>
      <c r="K246" s="86" t="str">
        <f>$C$2&amp;"."&amp;$D$2&amp;"."&amp;$E$2&amp;"."&amp;ROWS($A$1:A245)</f>
        <v>*.*.*.245</v>
      </c>
    </row>
    <row r="247" spans="8:11" x14ac:dyDescent="0.2">
      <c r="H247" s="86" t="str">
        <f>ROWS($A$1:A246)&amp;"."&amp;$D$2&amp;"."&amp;$E$2&amp;"."&amp;$F$2</f>
        <v>246.*.*.*</v>
      </c>
      <c r="I247" s="86" t="str">
        <f>$C$2&amp;"."&amp;ROWS($A$1:A246)&amp;"."&amp;$E$2&amp;"."&amp;$F$2</f>
        <v>*.246.*.*</v>
      </c>
      <c r="J247" s="86" t="str">
        <f>$C$2&amp;"."&amp;$D$2&amp;"."&amp;ROWS($A$1:A246)&amp;"."&amp;$F$2</f>
        <v>*.*.246.*</v>
      </c>
      <c r="K247" s="86" t="str">
        <f>$C$2&amp;"."&amp;$D$2&amp;"."&amp;$E$2&amp;"."&amp;ROWS($A$1:A246)</f>
        <v>*.*.*.246</v>
      </c>
    </row>
    <row r="248" spans="8:11" x14ac:dyDescent="0.2">
      <c r="H248" s="86" t="str">
        <f>ROWS($A$1:A247)&amp;"."&amp;$D$2&amp;"."&amp;$E$2&amp;"."&amp;$F$2</f>
        <v>247.*.*.*</v>
      </c>
      <c r="I248" s="86" t="str">
        <f>$C$2&amp;"."&amp;ROWS($A$1:A247)&amp;"."&amp;$E$2&amp;"."&amp;$F$2</f>
        <v>*.247.*.*</v>
      </c>
      <c r="J248" s="86" t="str">
        <f>$C$2&amp;"."&amp;$D$2&amp;"."&amp;ROWS($A$1:A247)&amp;"."&amp;$F$2</f>
        <v>*.*.247.*</v>
      </c>
      <c r="K248" s="86" t="str">
        <f>$C$2&amp;"."&amp;$D$2&amp;"."&amp;$E$2&amp;"."&amp;ROWS($A$1:A247)</f>
        <v>*.*.*.247</v>
      </c>
    </row>
    <row r="249" spans="8:11" x14ac:dyDescent="0.2">
      <c r="H249" s="86" t="str">
        <f>ROWS($A$1:A248)&amp;"."&amp;$D$2&amp;"."&amp;$E$2&amp;"."&amp;$F$2</f>
        <v>248.*.*.*</v>
      </c>
      <c r="I249" s="86" t="str">
        <f>$C$2&amp;"."&amp;ROWS($A$1:A248)&amp;"."&amp;$E$2&amp;"."&amp;$F$2</f>
        <v>*.248.*.*</v>
      </c>
      <c r="J249" s="86" t="str">
        <f>$C$2&amp;"."&amp;$D$2&amp;"."&amp;ROWS($A$1:A248)&amp;"."&amp;$F$2</f>
        <v>*.*.248.*</v>
      </c>
      <c r="K249" s="86" t="str">
        <f>$C$2&amp;"."&amp;$D$2&amp;"."&amp;$E$2&amp;"."&amp;ROWS($A$1:A248)</f>
        <v>*.*.*.248</v>
      </c>
    </row>
    <row r="250" spans="8:11" x14ac:dyDescent="0.2">
      <c r="H250" s="86" t="str">
        <f>ROWS($A$1:A249)&amp;"."&amp;$D$2&amp;"."&amp;$E$2&amp;"."&amp;$F$2</f>
        <v>249.*.*.*</v>
      </c>
      <c r="I250" s="86" t="str">
        <f>$C$2&amp;"."&amp;ROWS($A$1:A249)&amp;"."&amp;$E$2&amp;"."&amp;$F$2</f>
        <v>*.249.*.*</v>
      </c>
      <c r="J250" s="86" t="str">
        <f>$C$2&amp;"."&amp;$D$2&amp;"."&amp;ROWS($A$1:A249)&amp;"."&amp;$F$2</f>
        <v>*.*.249.*</v>
      </c>
      <c r="K250" s="86" t="str">
        <f>$C$2&amp;"."&amp;$D$2&amp;"."&amp;$E$2&amp;"."&amp;ROWS($A$1:A249)</f>
        <v>*.*.*.249</v>
      </c>
    </row>
    <row r="251" spans="8:11" x14ac:dyDescent="0.2">
      <c r="H251" s="86" t="str">
        <f>ROWS($A$1:A250)&amp;"."&amp;$D$2&amp;"."&amp;$E$2&amp;"."&amp;$F$2</f>
        <v>250.*.*.*</v>
      </c>
      <c r="I251" s="86" t="str">
        <f>$C$2&amp;"."&amp;ROWS($A$1:A250)&amp;"."&amp;$E$2&amp;"."&amp;$F$2</f>
        <v>*.250.*.*</v>
      </c>
      <c r="J251" s="86" t="str">
        <f>$C$2&amp;"."&amp;$D$2&amp;"."&amp;ROWS($A$1:A250)&amp;"."&amp;$F$2</f>
        <v>*.*.250.*</v>
      </c>
      <c r="K251" s="86" t="str">
        <f>$C$2&amp;"."&amp;$D$2&amp;"."&amp;$E$2&amp;"."&amp;ROWS($A$1:A250)</f>
        <v>*.*.*.250</v>
      </c>
    </row>
    <row r="252" spans="8:11" x14ac:dyDescent="0.2">
      <c r="H252" s="86" t="str">
        <f>ROWS($A$1:A251)&amp;"."&amp;$D$2&amp;"."&amp;$E$2&amp;"."&amp;$F$2</f>
        <v>251.*.*.*</v>
      </c>
      <c r="I252" s="86" t="str">
        <f>$C$2&amp;"."&amp;ROWS($A$1:A251)&amp;"."&amp;$E$2&amp;"."&amp;$F$2</f>
        <v>*.251.*.*</v>
      </c>
      <c r="J252" s="86" t="str">
        <f>$C$2&amp;"."&amp;$D$2&amp;"."&amp;ROWS($A$1:A251)&amp;"."&amp;$F$2</f>
        <v>*.*.251.*</v>
      </c>
      <c r="K252" s="86" t="str">
        <f>$C$2&amp;"."&amp;$D$2&amp;"."&amp;$E$2&amp;"."&amp;ROWS($A$1:A251)</f>
        <v>*.*.*.251</v>
      </c>
    </row>
    <row r="253" spans="8:11" x14ac:dyDescent="0.2">
      <c r="H253" s="86" t="str">
        <f>ROWS($A$1:A252)&amp;"."&amp;$D$2&amp;"."&amp;$E$2&amp;"."&amp;$F$2</f>
        <v>252.*.*.*</v>
      </c>
      <c r="I253" s="86" t="str">
        <f>$C$2&amp;"."&amp;ROWS($A$1:A252)&amp;"."&amp;$E$2&amp;"."&amp;$F$2</f>
        <v>*.252.*.*</v>
      </c>
      <c r="J253" s="86" t="str">
        <f>$C$2&amp;"."&amp;$D$2&amp;"."&amp;ROWS($A$1:A252)&amp;"."&amp;$F$2</f>
        <v>*.*.252.*</v>
      </c>
      <c r="K253" s="86" t="str">
        <f>$C$2&amp;"."&amp;$D$2&amp;"."&amp;$E$2&amp;"."&amp;ROWS($A$1:A252)</f>
        <v>*.*.*.252</v>
      </c>
    </row>
    <row r="254" spans="8:11" x14ac:dyDescent="0.2">
      <c r="H254" s="86" t="str">
        <f>ROWS($A$1:A253)&amp;"."&amp;$D$2&amp;"."&amp;$E$2&amp;"."&amp;$F$2</f>
        <v>253.*.*.*</v>
      </c>
      <c r="I254" s="86" t="str">
        <f>$C$2&amp;"."&amp;ROWS($A$1:A253)&amp;"."&amp;$E$2&amp;"."&amp;$F$2</f>
        <v>*.253.*.*</v>
      </c>
      <c r="J254" s="86" t="str">
        <f>$C$2&amp;"."&amp;$D$2&amp;"."&amp;ROWS($A$1:A253)&amp;"."&amp;$F$2</f>
        <v>*.*.253.*</v>
      </c>
      <c r="K254" s="86" t="str">
        <f>$C$2&amp;"."&amp;$D$2&amp;"."&amp;$E$2&amp;"."&amp;ROWS($A$1:A253)</f>
        <v>*.*.*.253</v>
      </c>
    </row>
    <row r="255" spans="8:11" x14ac:dyDescent="0.2">
      <c r="H255" s="86" t="str">
        <f>ROWS($A$1:A254)&amp;"."&amp;$D$2&amp;"."&amp;$E$2&amp;"."&amp;$F$2</f>
        <v>254.*.*.*</v>
      </c>
      <c r="I255" s="86" t="str">
        <f>$C$2&amp;"."&amp;ROWS($A$1:A254)&amp;"."&amp;$E$2&amp;"."&amp;$F$2</f>
        <v>*.254.*.*</v>
      </c>
      <c r="J255" s="86" t="str">
        <f>$C$2&amp;"."&amp;$D$2&amp;"."&amp;ROWS($A$1:A254)&amp;"."&amp;$F$2</f>
        <v>*.*.254.*</v>
      </c>
      <c r="K255" s="86" t="str">
        <f>$C$2&amp;"."&amp;$D$2&amp;"."&amp;$E$2&amp;"."&amp;ROWS($A$1:A254)</f>
        <v>*.*.*.254</v>
      </c>
    </row>
    <row r="256" spans="8:11" x14ac:dyDescent="0.2">
      <c r="H256" s="86" t="str">
        <f>ROWS($A$1:A255)&amp;"."&amp;$D$2&amp;"."&amp;$E$2&amp;"."&amp;$F$2</f>
        <v>255.*.*.*</v>
      </c>
      <c r="I256" s="86" t="str">
        <f>$C$2&amp;"."&amp;ROWS($A$1:A255)&amp;"."&amp;$E$2&amp;"."&amp;$F$2</f>
        <v>*.255.*.*</v>
      </c>
      <c r="J256" s="86" t="str">
        <f>$C$2&amp;"."&amp;$D$2&amp;"."&amp;ROWS($A$1:A255)&amp;"."&amp;$F$2</f>
        <v>*.*.255.*</v>
      </c>
      <c r="K256" s="86" t="str">
        <f>$C$2&amp;"."&amp;$D$2&amp;"."&amp;$E$2&amp;"."&amp;ROWS($A$1:A255)</f>
        <v>*.*.*.255</v>
      </c>
    </row>
  </sheetData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27"/>
  <sheetViews>
    <sheetView showGridLines="0" workbookViewId="0">
      <selection activeCell="B12" sqref="B12"/>
    </sheetView>
  </sheetViews>
  <sheetFormatPr defaultColWidth="11.42578125" defaultRowHeight="12.75" x14ac:dyDescent="0.2"/>
  <cols>
    <col min="1" max="1" width="22.5703125" style="61" customWidth="1"/>
    <col min="2" max="2" width="133.28515625" style="61" bestFit="1" customWidth="1"/>
    <col min="3" max="3" width="15.42578125" style="61" customWidth="1"/>
    <col min="4" max="4" width="133.28515625" style="61" bestFit="1" customWidth="1"/>
    <col min="5" max="5" width="14.42578125" style="61" bestFit="1" customWidth="1"/>
    <col min="6" max="16384" width="11.42578125" style="61"/>
  </cols>
  <sheetData>
    <row r="1" spans="1:4" ht="20.25" x14ac:dyDescent="0.3">
      <c r="A1" s="60" t="s">
        <v>980</v>
      </c>
      <c r="B1" s="68"/>
    </row>
    <row r="2" spans="1:4" x14ac:dyDescent="0.2">
      <c r="A2" s="68" t="s">
        <v>981</v>
      </c>
      <c r="B2" s="68" t="s">
        <v>827</v>
      </c>
      <c r="C2" s="68" t="s">
        <v>828</v>
      </c>
      <c r="D2" s="68" t="s">
        <v>829</v>
      </c>
    </row>
    <row r="3" spans="1:4" x14ac:dyDescent="0.2">
      <c r="A3" s="63" t="s">
        <v>982</v>
      </c>
      <c r="B3" s="89" t="s">
        <v>983</v>
      </c>
      <c r="C3" s="63"/>
      <c r="D3" s="63" t="str">
        <f>Ipv6Expand(B3)</f>
        <v>2001:0db8:1f89:c5a3:0000:0000:ac1f:8002</v>
      </c>
    </row>
    <row r="4" spans="1:4" x14ac:dyDescent="0.2">
      <c r="A4" s="63" t="s">
        <v>982</v>
      </c>
      <c r="B4" s="89" t="s">
        <v>984</v>
      </c>
      <c r="C4" s="63"/>
      <c r="D4" s="63" t="str">
        <f>Ipv6Expand(B4)</f>
        <v>0000:0000:0000:0000:0000:0000:0000:0000</v>
      </c>
    </row>
    <row r="5" spans="1:4" x14ac:dyDescent="0.2">
      <c r="A5" s="63" t="s">
        <v>985</v>
      </c>
      <c r="B5" s="89" t="s">
        <v>986</v>
      </c>
      <c r="C5" s="63"/>
      <c r="D5" s="63" t="str">
        <f>Ipv6Compress(B5)</f>
        <v>0:0:1::2:2:2</v>
      </c>
    </row>
    <row r="6" spans="1:4" x14ac:dyDescent="0.2">
      <c r="A6" s="63" t="s">
        <v>987</v>
      </c>
      <c r="B6" s="89" t="s">
        <v>988</v>
      </c>
      <c r="C6" s="63"/>
      <c r="D6" s="63">
        <f>Ipv6MaskLen(B6)</f>
        <v>59</v>
      </c>
    </row>
    <row r="7" spans="1:4" x14ac:dyDescent="0.2">
      <c r="A7" s="66" t="s">
        <v>989</v>
      </c>
      <c r="B7" s="89" t="s">
        <v>988</v>
      </c>
      <c r="C7" s="63"/>
      <c r="D7" s="63" t="str">
        <f>Ipv6WithoutMask(B7)</f>
        <v>2001:db8:1:1a0::</v>
      </c>
    </row>
    <row r="8" spans="1:4" x14ac:dyDescent="0.2">
      <c r="A8" s="66" t="s">
        <v>990</v>
      </c>
      <c r="B8" s="90" t="s">
        <v>991</v>
      </c>
      <c r="C8" s="90" t="s">
        <v>992</v>
      </c>
      <c r="D8" s="63" t="b">
        <f>Ipv6IsInSubnet(B8,C8)</f>
        <v>1</v>
      </c>
    </row>
    <row r="9" spans="1:4" x14ac:dyDescent="0.2">
      <c r="A9" s="66" t="s">
        <v>990</v>
      </c>
      <c r="B9" s="90" t="s">
        <v>993</v>
      </c>
      <c r="C9" s="90" t="s">
        <v>992</v>
      </c>
      <c r="D9" s="63" t="b">
        <f>Ipv6IsInSubnet(B9,C9)</f>
        <v>0</v>
      </c>
    </row>
    <row r="10" spans="1:4" x14ac:dyDescent="0.2">
      <c r="A10" s="63" t="s">
        <v>994</v>
      </c>
      <c r="B10" s="90" t="s">
        <v>993</v>
      </c>
      <c r="C10" s="63"/>
      <c r="D10" s="63" t="str">
        <f>Ipv6ToBin(B10)</f>
        <v>00100000000000010000110110111000000000000000001000000001101000000000000000000000000000000000000000000000000000000000000000000001</v>
      </c>
    </row>
    <row r="11" spans="1:4" x14ac:dyDescent="0.2">
      <c r="A11" s="63" t="s">
        <v>995</v>
      </c>
      <c r="B11" s="90" t="s">
        <v>993</v>
      </c>
      <c r="C11" s="89">
        <v>-1</v>
      </c>
      <c r="D11" s="63" t="str">
        <f>Ipv6AddInt(B11,C11)</f>
        <v>2001:db8:2:1a0::</v>
      </c>
    </row>
    <row r="12" spans="1:4" x14ac:dyDescent="0.2">
      <c r="A12" s="63" t="s">
        <v>995</v>
      </c>
      <c r="B12" s="90" t="s">
        <v>993</v>
      </c>
      <c r="C12" s="89">
        <v>32</v>
      </c>
      <c r="D12" s="63" t="str">
        <f>Ipv6AddInt(B12,C12)</f>
        <v>2001:db8:2:1a0::21</v>
      </c>
    </row>
    <row r="13" spans="1:4" x14ac:dyDescent="0.2">
      <c r="A13" s="63" t="s">
        <v>996</v>
      </c>
      <c r="B13" s="89" t="s">
        <v>997</v>
      </c>
      <c r="C13" s="89" t="s">
        <v>998</v>
      </c>
      <c r="D13" s="63" t="str">
        <f>Ipv6Add(B13,C13)</f>
        <v>2001:db8:1:1a0::2:3</v>
      </c>
    </row>
    <row r="14" spans="1:4" x14ac:dyDescent="0.2">
      <c r="A14" s="63" t="s">
        <v>996</v>
      </c>
      <c r="B14" s="89" t="s">
        <v>999</v>
      </c>
      <c r="C14" s="89" t="s">
        <v>998</v>
      </c>
      <c r="D14" s="63" t="str">
        <f>Ipv6Add(B14,C14)</f>
        <v>2001:db8:1:1a0::2:103</v>
      </c>
    </row>
    <row r="15" spans="1:4" x14ac:dyDescent="0.2">
      <c r="A15" s="63" t="s">
        <v>1000</v>
      </c>
      <c r="B15" s="89" t="s">
        <v>1001</v>
      </c>
      <c r="C15" s="89">
        <v>2</v>
      </c>
      <c r="D15" s="63" t="str">
        <f>Ipv6GetBlock(B15,C15)</f>
        <v>0db8</v>
      </c>
    </row>
    <row r="16" spans="1:4" x14ac:dyDescent="0.2">
      <c r="A16" s="63" t="s">
        <v>1002</v>
      </c>
      <c r="B16" s="89" t="s">
        <v>1001</v>
      </c>
      <c r="C16" s="89">
        <v>2</v>
      </c>
      <c r="D16" s="63">
        <f>Ipv6GetBlockInt(B16,C16)</f>
        <v>3512</v>
      </c>
    </row>
    <row r="17" spans="1:5" x14ac:dyDescent="0.2">
      <c r="A17" s="63" t="s">
        <v>1003</v>
      </c>
      <c r="B17" s="89" t="s">
        <v>1004</v>
      </c>
      <c r="C17" s="89">
        <v>2</v>
      </c>
      <c r="D17" s="63" t="str">
        <f>Ipv6GetIpv4(B17,C17)</f>
        <v>192.168.1.2</v>
      </c>
    </row>
    <row r="18" spans="1:5" x14ac:dyDescent="0.2">
      <c r="A18" s="63" t="s">
        <v>1005</v>
      </c>
      <c r="B18" s="91" t="s">
        <v>1006</v>
      </c>
      <c r="C18" s="63"/>
      <c r="D18" s="63" t="str">
        <f>Ipv6FromBin(B18)</f>
        <v>2001:db8:2:1a0::1</v>
      </c>
    </row>
    <row r="19" spans="1:5" x14ac:dyDescent="0.2">
      <c r="A19" s="63" t="s">
        <v>1007</v>
      </c>
      <c r="B19" s="89" t="s">
        <v>988</v>
      </c>
      <c r="C19" s="63"/>
      <c r="D19" s="63" t="str">
        <f>Ipv6SubnetFirstAddress(B19)</f>
        <v>2001:db8:1:1a0::</v>
      </c>
    </row>
    <row r="20" spans="1:5" x14ac:dyDescent="0.2">
      <c r="A20" s="63" t="s">
        <v>1008</v>
      </c>
      <c r="B20" s="89" t="s">
        <v>988</v>
      </c>
      <c r="C20" s="63"/>
      <c r="D20" s="63" t="str">
        <f>Ipv6SubnetLastAddress(B20)</f>
        <v>2001:db8:1:1bf:ffff:ffff:ffff:ffff</v>
      </c>
    </row>
    <row r="23" spans="1:5" x14ac:dyDescent="0.2">
      <c r="A23" s="68" t="s">
        <v>981</v>
      </c>
      <c r="B23" s="68" t="s">
        <v>827</v>
      </c>
      <c r="C23" s="68" t="s">
        <v>828</v>
      </c>
      <c r="D23" s="68" t="s">
        <v>875</v>
      </c>
      <c r="E23" s="68" t="s">
        <v>829</v>
      </c>
    </row>
    <row r="24" spans="1:5" x14ac:dyDescent="0.2">
      <c r="A24" s="63" t="s">
        <v>1009</v>
      </c>
      <c r="B24" s="89" t="s">
        <v>984</v>
      </c>
      <c r="C24" s="89">
        <v>5</v>
      </c>
      <c r="D24" s="92" t="s">
        <v>1010</v>
      </c>
      <c r="E24" s="63" t="str">
        <f>Ipv6SetBlock(B24,C24,D24)</f>
        <v>::2aa:0:0:0</v>
      </c>
    </row>
    <row r="25" spans="1:5" x14ac:dyDescent="0.2">
      <c r="A25" s="63" t="s">
        <v>1011</v>
      </c>
      <c r="B25" s="89" t="s">
        <v>984</v>
      </c>
      <c r="C25" s="89">
        <v>2</v>
      </c>
      <c r="D25" s="92">
        <v>256</v>
      </c>
      <c r="E25" s="63" t="str">
        <f>Ipv6SetBlockInt(B25,C25,D25)</f>
        <v>0:100::</v>
      </c>
    </row>
    <row r="26" spans="1:5" x14ac:dyDescent="0.2">
      <c r="A26" s="63" t="s">
        <v>1012</v>
      </c>
      <c r="B26" s="89" t="s">
        <v>1013</v>
      </c>
      <c r="C26" s="89">
        <v>2</v>
      </c>
      <c r="D26" s="92" t="s">
        <v>924</v>
      </c>
      <c r="E26" s="63" t="str">
        <f>Ipv6SetIpv4(B26,C26,D26)</f>
        <v>2002:c0a8:102::</v>
      </c>
    </row>
    <row r="27" spans="1:5" x14ac:dyDescent="0.2">
      <c r="A27" s="66" t="s">
        <v>1014</v>
      </c>
      <c r="B27" s="90" t="s">
        <v>1013</v>
      </c>
      <c r="C27" s="91" t="s">
        <v>1015</v>
      </c>
      <c r="D27" s="89">
        <v>17</v>
      </c>
      <c r="E27" s="63" t="str">
        <f>Ipv6SetBits(B27,C27,D27)</f>
        <v>2002:4000::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VBS Array Maker</vt:lpstr>
      <vt:lpstr>Java Array Maker</vt:lpstr>
      <vt:lpstr>Repetitive List Maker</vt:lpstr>
      <vt:lpstr>Donation Tracker</vt:lpstr>
      <vt:lpstr>IP-Hostname Sort</vt:lpstr>
      <vt:lpstr>Search Multiple Criteria</vt:lpstr>
      <vt:lpstr>Compare Column Data</vt:lpstr>
      <vt:lpstr>Strip-Modify Hostname</vt:lpstr>
      <vt:lpstr>Conditional Formatting</vt:lpstr>
      <vt:lpstr>IPv4-Calculator</vt:lpstr>
      <vt:lpstr>IPv4-Functions</vt:lpstr>
      <vt:lpstr>IPv4-Find Match or Overlap</vt:lpstr>
      <vt:lpstr>IPv4-IP and Subnet Sort</vt:lpstr>
      <vt:lpstr>IPv4-IP and Subnet Sort Tool</vt:lpstr>
      <vt:lpstr>IPv4-Subnet Range and Subtract</vt:lpstr>
      <vt:lpstr>IPv4-IP Range Creator</vt:lpstr>
      <vt:lpstr>IPv6-Functions</vt:lpstr>
      <vt:lpstr>logTable2</vt:lpstr>
      <vt:lpstr>logTable3</vt:lpstr>
      <vt:lpstr>'Donation Tracker'!Print_Area</vt:lpstr>
      <vt:lpstr>'Donation Tracker'!Print_Titles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</dc:creator>
  <cp:lastModifiedBy>Mathew</cp:lastModifiedBy>
  <cp:lastPrinted>2019-03-02T07:54:25Z</cp:lastPrinted>
  <dcterms:created xsi:type="dcterms:W3CDTF">2018-07-12T04:20:23Z</dcterms:created>
  <dcterms:modified xsi:type="dcterms:W3CDTF">2020-01-26T00:32:28Z</dcterms:modified>
</cp:coreProperties>
</file>